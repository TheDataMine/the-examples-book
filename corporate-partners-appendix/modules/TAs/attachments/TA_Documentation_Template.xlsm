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chaelw/Documents/PURDUE FALL 2025/CRP/"/>
    </mc:Choice>
  </mc:AlternateContent>
  <xr:revisionPtr revIDLastSave="0" documentId="13_ncr:1_{3CAFF54F-15E2-BD42-8808-620A75706C79}" xr6:coauthVersionLast="47" xr6:coauthVersionMax="47" xr10:uidLastSave="{00000000-0000-0000-0000-000000000000}"/>
  <bookViews>
    <workbookView xWindow="0" yWindow="760" windowWidth="30240" windowHeight="17720" activeTab="8" xr2:uid="{E711293E-5521-2745-B239-50DD0C4AC592}"/>
  </bookViews>
  <sheets>
    <sheet name="Roster" sheetId="2" r:id="rId1"/>
    <sheet name="sprint1" sheetId="1" r:id="rId2"/>
    <sheet name="sprint2" sheetId="12" r:id="rId3"/>
    <sheet name="sprint3" sheetId="13" r:id="rId4"/>
    <sheet name="sprint4" sheetId="14" r:id="rId5"/>
    <sheet name="mid-semester-feedback" sheetId="7" r:id="rId6"/>
    <sheet name="sprint5" sheetId="15" r:id="rId7"/>
    <sheet name="sprint6" sheetId="16" r:id="rId8"/>
    <sheet name="sprint7" sheetId="17" r:id="rId9"/>
    <sheet name="final_feedback" sheetId="11" r:id="rId10"/>
  </sheets>
  <definedNames>
    <definedName name="fullsheetlist">final_feedback!$L$1:$L$7</definedName>
    <definedName name="sheetlist">'mid-semester-feedback'!$L$1:$L$4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1" l="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J17" i="17"/>
  <c r="A17" i="17"/>
  <c r="J16" i="17"/>
  <c r="A16" i="17"/>
  <c r="J15" i="17"/>
  <c r="A15" i="17"/>
  <c r="J14" i="17"/>
  <c r="A14" i="17"/>
  <c r="J13" i="17"/>
  <c r="A13" i="17"/>
  <c r="J12" i="17"/>
  <c r="A12" i="17"/>
  <c r="J11" i="17"/>
  <c r="A11" i="17"/>
  <c r="J10" i="17"/>
  <c r="A10" i="17"/>
  <c r="J9" i="17"/>
  <c r="A9" i="17"/>
  <c r="J8" i="17"/>
  <c r="A8" i="17"/>
  <c r="J7" i="17"/>
  <c r="A7" i="17"/>
  <c r="J6" i="17"/>
  <c r="A6" i="17"/>
  <c r="J5" i="17"/>
  <c r="A5" i="17"/>
  <c r="J4" i="17"/>
  <c r="A4" i="17"/>
  <c r="J3" i="17"/>
  <c r="A3" i="17"/>
  <c r="J17" i="16"/>
  <c r="A17" i="16"/>
  <c r="J16" i="16"/>
  <c r="A16" i="16"/>
  <c r="J15" i="16"/>
  <c r="A15" i="16"/>
  <c r="J14" i="16"/>
  <c r="A14" i="16"/>
  <c r="J13" i="16"/>
  <c r="A13" i="16"/>
  <c r="J12" i="16"/>
  <c r="A12" i="16"/>
  <c r="J11" i="16"/>
  <c r="A11" i="16"/>
  <c r="J10" i="16"/>
  <c r="A10" i="16"/>
  <c r="J9" i="16"/>
  <c r="A9" i="16"/>
  <c r="J8" i="16"/>
  <c r="A8" i="16"/>
  <c r="J7" i="16"/>
  <c r="A7" i="16"/>
  <c r="J6" i="16"/>
  <c r="A6" i="16"/>
  <c r="J5" i="16"/>
  <c r="A5" i="16"/>
  <c r="J4" i="16"/>
  <c r="A4" i="16"/>
  <c r="J3" i="16"/>
  <c r="A3" i="16"/>
  <c r="J17" i="15"/>
  <c r="A17" i="15"/>
  <c r="J16" i="15"/>
  <c r="A16" i="15"/>
  <c r="J15" i="15"/>
  <c r="A15" i="15"/>
  <c r="J14" i="15"/>
  <c r="A14" i="15"/>
  <c r="J13" i="15"/>
  <c r="A13" i="15"/>
  <c r="J12" i="15"/>
  <c r="A12" i="15"/>
  <c r="J11" i="15"/>
  <c r="A11" i="15"/>
  <c r="J10" i="15"/>
  <c r="A10" i="15"/>
  <c r="J9" i="15"/>
  <c r="A9" i="15"/>
  <c r="J8" i="15"/>
  <c r="A8" i="15"/>
  <c r="J7" i="15"/>
  <c r="A7" i="15"/>
  <c r="J6" i="15"/>
  <c r="A6" i="15"/>
  <c r="J5" i="15"/>
  <c r="A5" i="15"/>
  <c r="J4" i="15"/>
  <c r="A4" i="15"/>
  <c r="J3" i="15"/>
  <c r="A3" i="15"/>
  <c r="J17" i="14"/>
  <c r="A17" i="14"/>
  <c r="J16" i="14"/>
  <c r="A16" i="14"/>
  <c r="J15" i="14"/>
  <c r="A15" i="14"/>
  <c r="J14" i="14"/>
  <c r="A14" i="14"/>
  <c r="J13" i="14"/>
  <c r="A13" i="14"/>
  <c r="J12" i="14"/>
  <c r="A12" i="14"/>
  <c r="J11" i="14"/>
  <c r="A11" i="14"/>
  <c r="J10" i="14"/>
  <c r="A10" i="14"/>
  <c r="J9" i="14"/>
  <c r="A9" i="14"/>
  <c r="J8" i="14"/>
  <c r="A8" i="14"/>
  <c r="J7" i="14"/>
  <c r="A7" i="14"/>
  <c r="J6" i="14"/>
  <c r="A6" i="14"/>
  <c r="J5" i="14"/>
  <c r="A5" i="14"/>
  <c r="J4" i="14"/>
  <c r="A4" i="14"/>
  <c r="J3" i="14"/>
  <c r="A3" i="14"/>
  <c r="J17" i="13"/>
  <c r="A17" i="13"/>
  <c r="J16" i="13"/>
  <c r="A16" i="13"/>
  <c r="J15" i="13"/>
  <c r="A15" i="13"/>
  <c r="J14" i="13"/>
  <c r="A14" i="13"/>
  <c r="J13" i="13"/>
  <c r="A13" i="13"/>
  <c r="J12" i="13"/>
  <c r="A12" i="13"/>
  <c r="J11" i="13"/>
  <c r="A11" i="13"/>
  <c r="J10" i="13"/>
  <c r="A10" i="13"/>
  <c r="J9" i="13"/>
  <c r="A9" i="13"/>
  <c r="J8" i="13"/>
  <c r="A8" i="13"/>
  <c r="J7" i="13"/>
  <c r="A7" i="13"/>
  <c r="J6" i="13"/>
  <c r="A6" i="13"/>
  <c r="J5" i="13"/>
  <c r="A5" i="13"/>
  <c r="J4" i="13"/>
  <c r="A4" i="13"/>
  <c r="J3" i="13"/>
  <c r="A3" i="13"/>
  <c r="J17" i="12"/>
  <c r="A17" i="12"/>
  <c r="J16" i="12"/>
  <c r="A16" i="12"/>
  <c r="J15" i="12"/>
  <c r="A15" i="12"/>
  <c r="J14" i="12"/>
  <c r="A14" i="12"/>
  <c r="J13" i="12"/>
  <c r="A13" i="12"/>
  <c r="J12" i="12"/>
  <c r="A12" i="12"/>
  <c r="J11" i="12"/>
  <c r="A11" i="12"/>
  <c r="J10" i="12"/>
  <c r="A10" i="12"/>
  <c r="J9" i="12"/>
  <c r="A9" i="12"/>
  <c r="J8" i="12"/>
  <c r="A8" i="12"/>
  <c r="J7" i="12"/>
  <c r="A7" i="12"/>
  <c r="J6" i="12"/>
  <c r="A6" i="12"/>
  <c r="J5" i="12"/>
  <c r="A5" i="12"/>
  <c r="J4" i="12"/>
  <c r="A4" i="12"/>
  <c r="J3" i="12"/>
  <c r="A3" i="12"/>
  <c r="A5" i="1"/>
  <c r="J16" i="1"/>
  <c r="J17" i="1"/>
  <c r="A16" i="1"/>
  <c r="A17" i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2" i="7"/>
  <c r="A4" i="1"/>
  <c r="A6" i="1"/>
  <c r="A7" i="1"/>
  <c r="A8" i="1"/>
  <c r="A9" i="1"/>
  <c r="A10" i="1"/>
  <c r="A11" i="1"/>
  <c r="A12" i="1"/>
  <c r="A13" i="1"/>
  <c r="A14" i="1"/>
  <c r="A15" i="1"/>
  <c r="A3" i="1"/>
  <c r="J4" i="1"/>
  <c r="J5" i="1"/>
  <c r="J6" i="1"/>
  <c r="J7" i="1"/>
  <c r="J8" i="1"/>
  <c r="J9" i="1"/>
  <c r="J10" i="1"/>
  <c r="J11" i="1"/>
  <c r="J12" i="1"/>
  <c r="J13" i="1"/>
  <c r="J14" i="1"/>
  <c r="J15" i="1"/>
  <c r="J3" i="1"/>
  <c r="B3" i="11" a="1"/>
  <c r="F11" i="11" a="1"/>
  <c r="E11" i="11" a="1"/>
  <c r="C11" i="11" a="1"/>
  <c r="B5" i="11" a="1"/>
  <c r="E3" i="11" a="1"/>
  <c r="D2" i="11" a="1"/>
  <c r="E16" i="7" a="1"/>
  <c r="F3" i="7" a="1"/>
  <c r="D9" i="7" a="1"/>
  <c r="F12" i="7" a="1"/>
  <c r="E2" i="7" a="1"/>
  <c r="B13" i="7" a="1"/>
  <c r="C10" i="7" a="1"/>
  <c r="B4" i="7" a="1"/>
  <c r="F14" i="7" a="1"/>
  <c r="F16" i="7" a="1"/>
  <c r="C2" i="7" a="1"/>
  <c r="F16" i="11" a="1"/>
  <c r="E13" i="11" a="1"/>
  <c r="F4" i="7" a="1"/>
  <c r="D7" i="7" a="1"/>
  <c r="E8" i="11" a="1"/>
  <c r="F12" i="11" a="1"/>
  <c r="E4" i="7" a="1"/>
  <c r="C8" i="7" a="1"/>
  <c r="B14" i="7" a="1"/>
  <c r="C15" i="11" a="1"/>
  <c r="C6" i="7" a="1"/>
  <c r="C11" i="7" a="1"/>
  <c r="E11" i="7" a="1"/>
  <c r="B2" i="7" a="1"/>
  <c r="D3" i="11" a="1"/>
  <c r="D7" i="11" a="1"/>
  <c r="F13" i="7" a="1"/>
  <c r="E12" i="7" a="1"/>
  <c r="B6" i="7" a="1"/>
  <c r="D12" i="11" a="1"/>
  <c r="F5" i="11" a="1"/>
  <c r="D6" i="11" a="1"/>
  <c r="E8" i="7" a="1"/>
  <c r="B8" i="7" a="1"/>
  <c r="E12" i="11" a="1"/>
  <c r="E10" i="7" a="1"/>
  <c r="E5" i="11" a="1"/>
  <c r="C4" i="11" a="1"/>
  <c r="D15" i="11" a="1"/>
  <c r="B14" i="11" a="1"/>
  <c r="D4" i="11" a="1"/>
  <c r="D13" i="11" a="1"/>
  <c r="F4" i="11" a="1"/>
  <c r="C2" i="11" a="1"/>
  <c r="F5" i="7" a="1"/>
  <c r="F6" i="7" a="1"/>
  <c r="D12" i="7" a="1"/>
  <c r="D2" i="7" a="1"/>
  <c r="B2" i="11" a="1"/>
  <c r="C16" i="7" a="1"/>
  <c r="E6" i="11" a="1"/>
  <c r="D10" i="11" a="1"/>
  <c r="C3" i="7" a="1"/>
  <c r="E3" i="7" a="1"/>
  <c r="B7" i="7" a="1"/>
  <c r="B7" i="11" a="1"/>
  <c r="D8" i="11" a="1"/>
  <c r="C4" i="7" a="1"/>
  <c r="B9" i="7" a="1"/>
  <c r="D9" i="11" a="1"/>
  <c r="C13" i="11" a="1"/>
  <c r="E5" i="7" a="1"/>
  <c r="B10" i="11" a="1"/>
  <c r="B4" i="11" a="1"/>
  <c r="E7" i="7" a="1"/>
  <c r="C7" i="7" a="1"/>
  <c r="D4" i="7" a="1"/>
  <c r="D11" i="11" a="1"/>
  <c r="E9" i="11" a="1"/>
  <c r="F14" i="11" a="1"/>
  <c r="E15" i="7" a="1"/>
  <c r="E2" i="11" a="1"/>
  <c r="D5" i="11" a="1"/>
  <c r="B12" i="11" a="1"/>
  <c r="D16" i="11" a="1"/>
  <c r="F6" i="11" a="1"/>
  <c r="F8" i="11" a="1"/>
  <c r="B6" i="11" a="1"/>
  <c r="F9" i="7" a="1"/>
  <c r="B5" i="7" a="1"/>
  <c r="E4" i="11" a="1"/>
  <c r="C7" i="11" a="1"/>
  <c r="D14" i="7" a="1"/>
  <c r="B3" i="7" a="1"/>
  <c r="F7" i="11" a="1"/>
  <c r="C8" i="11" a="1"/>
  <c r="F7" i="7" a="1"/>
  <c r="F15" i="7" a="1"/>
  <c r="B9" i="11" a="1"/>
  <c r="F9" i="11" a="1"/>
  <c r="F10" i="7" a="1"/>
  <c r="C10" i="11" a="1"/>
  <c r="C9" i="7" a="1"/>
  <c r="F3" i="11" a="1"/>
  <c r="D10" i="7" a="1"/>
  <c r="B16" i="7" a="1"/>
  <c r="C12" i="11" a="1"/>
  <c r="F2" i="11" a="1"/>
  <c r="D3" i="7" a="1"/>
  <c r="C9" i="11" a="1"/>
  <c r="F15" i="11" a="1"/>
  <c r="B15" i="7" a="1"/>
  <c r="B13" i="11" a="1"/>
  <c r="E10" i="11" a="1"/>
  <c r="C5" i="7" a="1"/>
  <c r="D5" i="7" a="1"/>
  <c r="B10" i="7" a="1"/>
  <c r="C6" i="11" a="1"/>
  <c r="D15" i="7" a="1"/>
  <c r="C14" i="11" a="1"/>
  <c r="E6" i="7" a="1"/>
  <c r="D11" i="7" a="1"/>
  <c r="E15" i="11" a="1"/>
  <c r="D13" i="7" a="1"/>
  <c r="C3" i="11" a="1"/>
  <c r="E14" i="11" a="1"/>
  <c r="C12" i="7" a="1"/>
  <c r="D16" i="7" a="1"/>
  <c r="B16" i="11" a="1"/>
  <c r="C15" i="7" a="1"/>
  <c r="C14" i="7" a="1"/>
  <c r="F11" i="7" a="1"/>
  <c r="D14" i="11" a="1"/>
  <c r="E16" i="11" a="1"/>
  <c r="B11" i="11" a="1"/>
  <c r="C13" i="7" a="1"/>
  <c r="E14" i="7" a="1"/>
  <c r="F13" i="11" a="1"/>
  <c r="B8" i="11" a="1"/>
  <c r="F10" i="11" a="1"/>
  <c r="E13" i="7" a="1"/>
  <c r="C16" i="11" a="1"/>
  <c r="F8" i="7" a="1"/>
  <c r="D8" i="7" a="1"/>
  <c r="B15" i="11" a="1"/>
  <c r="C5" i="11" a="1"/>
  <c r="E9" i="7" a="1"/>
  <c r="B11" i="7" a="1"/>
  <c r="E7" i="11" a="1"/>
  <c r="D6" i="7" a="1"/>
  <c r="F2" i="7" a="1"/>
  <c r="B12" i="7" a="1"/>
  <c r="F3" i="11" l="1"/>
  <c r="B11" i="11"/>
  <c r="D6" i="11"/>
  <c r="D7" i="11"/>
  <c r="C13" i="11"/>
  <c r="D8" i="11"/>
  <c r="C7" i="11"/>
  <c r="B6" i="11"/>
  <c r="F4" i="11"/>
  <c r="E3" i="11"/>
  <c r="B16" i="11"/>
  <c r="C5" i="11"/>
  <c r="E14" i="11"/>
  <c r="E16" i="11"/>
  <c r="F14" i="11"/>
  <c r="B4" i="11"/>
  <c r="F9" i="11"/>
  <c r="C8" i="11"/>
  <c r="E13" i="11"/>
  <c r="F8" i="11"/>
  <c r="D13" i="11"/>
  <c r="B5" i="11"/>
  <c r="E15" i="11"/>
  <c r="F10" i="11"/>
  <c r="C14" i="11"/>
  <c r="E10" i="11"/>
  <c r="F5" i="11"/>
  <c r="D3" i="11"/>
  <c r="C15" i="11"/>
  <c r="F12" i="11"/>
  <c r="D10" i="11"/>
  <c r="F6" i="11"/>
  <c r="D4" i="11"/>
  <c r="C11" i="11"/>
  <c r="E7" i="11"/>
  <c r="C12" i="11"/>
  <c r="C6" i="11"/>
  <c r="D14" i="11"/>
  <c r="E9" i="11"/>
  <c r="B13" i="11"/>
  <c r="D9" i="11"/>
  <c r="B7" i="11"/>
  <c r="E4" i="11"/>
  <c r="D16" i="11"/>
  <c r="B14" i="11"/>
  <c r="E11" i="11"/>
  <c r="C9" i="11"/>
  <c r="B8" i="11"/>
  <c r="E5" i="11"/>
  <c r="C3" i="11"/>
  <c r="D12" i="11"/>
  <c r="B10" i="11"/>
  <c r="F15" i="11"/>
  <c r="E8" i="11"/>
  <c r="F16" i="11"/>
  <c r="B12" i="11"/>
  <c r="D15" i="11"/>
  <c r="F11" i="11"/>
  <c r="C16" i="11"/>
  <c r="B15" i="11"/>
  <c r="F13" i="11"/>
  <c r="E12" i="11"/>
  <c r="D11" i="11"/>
  <c r="C10" i="11"/>
  <c r="B9" i="11"/>
  <c r="F7" i="11"/>
  <c r="E6" i="11"/>
  <c r="D5" i="11"/>
  <c r="C4" i="11"/>
  <c r="B3" i="11"/>
  <c r="F2" i="11"/>
  <c r="E2" i="11"/>
  <c r="D2" i="11"/>
  <c r="C2" i="11"/>
  <c r="B2" i="11"/>
  <c r="D16" i="7"/>
  <c r="D10" i="7"/>
  <c r="E14" i="7"/>
  <c r="D13" i="7"/>
  <c r="D4" i="7"/>
  <c r="E11" i="7"/>
  <c r="F15" i="7"/>
  <c r="D7" i="7"/>
  <c r="C16" i="7"/>
  <c r="C10" i="7"/>
  <c r="F12" i="7"/>
  <c r="F11" i="7"/>
  <c r="D11" i="7"/>
  <c r="D8" i="7"/>
  <c r="D5" i="7"/>
  <c r="E15" i="7"/>
  <c r="E12" i="7"/>
  <c r="C11" i="7"/>
  <c r="C8" i="7"/>
  <c r="E3" i="7"/>
  <c r="F16" i="7"/>
  <c r="D12" i="7"/>
  <c r="D9" i="7"/>
  <c r="D6" i="7"/>
  <c r="D3" i="7"/>
  <c r="F8" i="7"/>
  <c r="C13" i="7"/>
  <c r="E8" i="7"/>
  <c r="C7" i="7"/>
  <c r="E5" i="7"/>
  <c r="C4" i="7"/>
  <c r="D14" i="7"/>
  <c r="F9" i="7"/>
  <c r="F6" i="7"/>
  <c r="F3" i="7"/>
  <c r="C14" i="7"/>
  <c r="E9" i="7"/>
  <c r="E6" i="7"/>
  <c r="C5" i="7"/>
  <c r="D15" i="7"/>
  <c r="F13" i="7"/>
  <c r="F10" i="7"/>
  <c r="F7" i="7"/>
  <c r="F4" i="7"/>
  <c r="F14" i="7"/>
  <c r="F5" i="7"/>
  <c r="E16" i="7"/>
  <c r="C15" i="7"/>
  <c r="E13" i="7"/>
  <c r="C12" i="7"/>
  <c r="E10" i="7"/>
  <c r="C9" i="7"/>
  <c r="E7" i="7"/>
  <c r="C6" i="7"/>
  <c r="E4" i="7"/>
  <c r="C3" i="7"/>
  <c r="F2" i="7"/>
  <c r="E2" i="7"/>
  <c r="D2" i="7"/>
  <c r="C2" i="7"/>
  <c r="B14" i="7"/>
  <c r="B7" i="7"/>
  <c r="B5" i="7"/>
  <c r="B4" i="7"/>
  <c r="B13" i="7"/>
  <c r="B12" i="7"/>
  <c r="B11" i="7"/>
  <c r="B16" i="7"/>
  <c r="B10" i="7"/>
  <c r="B8" i="7"/>
  <c r="B6" i="7"/>
  <c r="B15" i="7"/>
  <c r="B9" i="7"/>
  <c r="B3" i="7"/>
  <c r="B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<sst xmlns="http://schemas.openxmlformats.org/spreadsheetml/2006/main" count="1028" uniqueCount="31">
  <si>
    <t>Student</t>
  </si>
  <si>
    <t>Lecture 1</t>
  </si>
  <si>
    <t>Lab 1</t>
  </si>
  <si>
    <t>Lecture 2</t>
  </si>
  <si>
    <t>Lab 2</t>
  </si>
  <si>
    <t>Attendance</t>
  </si>
  <si>
    <t>Participation</t>
  </si>
  <si>
    <t>Notes</t>
  </si>
  <si>
    <t>General</t>
  </si>
  <si>
    <t>Task 1</t>
  </si>
  <si>
    <t xml:space="preserve">% Complete </t>
  </si>
  <si>
    <t>Task 2</t>
  </si>
  <si>
    <r>
      <t xml:space="preserve">Other Tasks </t>
    </r>
    <r>
      <rPr>
        <sz val="12"/>
        <color theme="1"/>
        <rFont val="Aptos Narrow"/>
        <scheme val="minor"/>
      </rPr>
      <t>(if needed)</t>
    </r>
  </si>
  <si>
    <r>
      <t xml:space="preserve">Recommended Presence Grade </t>
    </r>
    <r>
      <rPr>
        <i/>
        <sz val="12"/>
        <color theme="1"/>
        <rFont val="Aptos Narrow"/>
        <scheme val="minor"/>
      </rPr>
      <t>(Use your own discretion when grading)</t>
    </r>
  </si>
  <si>
    <t>Student Name</t>
  </si>
  <si>
    <t>sprint1</t>
  </si>
  <si>
    <t>sprint2</t>
  </si>
  <si>
    <t>sprint3</t>
  </si>
  <si>
    <t>sprint4</t>
  </si>
  <si>
    <t># Absent</t>
  </si>
  <si>
    <t>sprint5</t>
  </si>
  <si>
    <t>sprint6</t>
  </si>
  <si>
    <t>sprint7</t>
  </si>
  <si>
    <t># Late</t>
  </si>
  <si>
    <t># Camera Off</t>
  </si>
  <si>
    <t># Poor Participation</t>
  </si>
  <si>
    <t># Exceptional Participation</t>
  </si>
  <si>
    <t xml:space="preserve"> </t>
  </si>
  <si>
    <t>N/A</t>
  </si>
  <si>
    <t>Absent</t>
  </si>
  <si>
    <t>For feedback calculation, do not modify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</si>
</sst>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sz val="12"/>
      <color rgb="FF9C0006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1" xfId="0" applyFont="1" applyBorder="1"/>
    <xf numFmtId="0" fontId="0" fillId="0" borderId="9" xfId="0" applyBorder="1"/>
    <xf numFmtId="0" fontId="0" fillId="0" borderId="10" xfId="0" applyBorder="1"/>
    <xf numFmtId="0" fontId="3" fillId="0" borderId="7" xfId="0" applyFont="1" applyBorder="1"/>
    <xf numFmtId="0" fontId="5" fillId="0" borderId="0" xfId="0" applyFont="1"/>
    <xf numFmtId="0" fontId="0" fillId="0" borderId="12" xfId="0" applyBorder="1"/>
    <xf numFmtId="0" fontId="0" fillId="0" borderId="13" xfId="0" applyBorder="1"/>
    <xf numFmtId="0" fontId="0" fillId="0" borderId="11" xfId="0" applyBorder="1"/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0" fontId="6" fillId="2" borderId="13" xfId="0" applyFont="1" applyFill="1" applyBorder="1"/>
    <xf numFmtId="0" fontId="6" fillId="2" borderId="3" xfId="0" applyFont="1" applyFill="1" applyBorder="1"/>
    <xf numFmtId="0" fontId="6" fillId="2" borderId="5" xfId="0" applyFont="1" applyFill="1" applyBorder="1"/>
    <xf numFmtId="0" fontId="0" fillId="0" borderId="11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</cellXfs>
  <cellStyles count="1">
    <cellStyle name="Normal" xfId="0" builtinId="0"/>
  </cellStyles>
  <dxfs count="59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3"/>
      </font>
      <fill>
        <patternFill>
          <bgColor theme="3" tint="0.499984740745262"/>
        </patternFill>
      </fill>
    </dxf>
    <dxf>
      <fill>
        <patternFill>
          <fgColor theme="0" tint="-0.499984740745262"/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FC317-129C-7347-9A86-A90C2D93D5A7}">
  <dimension ref="A1:A16"/>
  <sheetViews>
    <sheetView zoomScale="144" workbookViewId="0">
      <selection activeCell="A2" sqref="A2"/>
    </sheetView>
  </sheetViews>
  <sheetFormatPr baseColWidth="10" defaultRowHeight="16" x14ac:dyDescent="0.2"/>
  <cols>
    <col min="1" max="1" width="16.33203125" customWidth="1"/>
  </cols>
  <sheetData>
    <row r="1" spans="1:1" x14ac:dyDescent="0.2">
      <c r="A1" t="s">
        <v>14</v>
      </c>
    </row>
    <row r="2" spans="1:1" x14ac:dyDescent="0.2">
      <c r="A2" t="s">
        <v>27</v>
      </c>
    </row>
    <row r="3" spans="1:1" x14ac:dyDescent="0.2">
      <c r="A3" t="s">
        <v>27</v>
      </c>
    </row>
    <row r="4" spans="1:1" x14ac:dyDescent="0.2">
      <c r="A4" t="s">
        <v>27</v>
      </c>
    </row>
    <row r="5" spans="1:1" x14ac:dyDescent="0.2">
      <c r="A5" t="s">
        <v>27</v>
      </c>
    </row>
    <row r="6" spans="1:1" x14ac:dyDescent="0.2">
      <c r="A6" t="s">
        <v>27</v>
      </c>
    </row>
    <row r="7" spans="1:1" x14ac:dyDescent="0.2">
      <c r="A7" t="s">
        <v>27</v>
      </c>
    </row>
    <row r="8" spans="1:1" x14ac:dyDescent="0.2">
      <c r="A8" t="s">
        <v>27</v>
      </c>
    </row>
    <row r="9" spans="1:1" x14ac:dyDescent="0.2">
      <c r="A9" t="s">
        <v>27</v>
      </c>
    </row>
    <row r="10" spans="1:1" x14ac:dyDescent="0.2">
      <c r="A10" t="s">
        <v>27</v>
      </c>
    </row>
    <row r="11" spans="1:1" x14ac:dyDescent="0.2">
      <c r="A11" t="s">
        <v>27</v>
      </c>
    </row>
    <row r="12" spans="1:1" x14ac:dyDescent="0.2">
      <c r="A12" t="s">
        <v>27</v>
      </c>
    </row>
    <row r="13" spans="1:1" x14ac:dyDescent="0.2">
      <c r="A13" t="s">
        <v>27</v>
      </c>
    </row>
    <row r="14" spans="1:1" x14ac:dyDescent="0.2">
      <c r="A14" t="s">
        <v>27</v>
      </c>
    </row>
    <row r="15" spans="1:1" x14ac:dyDescent="0.2">
      <c r="A15" t="s">
        <v>27</v>
      </c>
    </row>
    <row r="16" spans="1:1" x14ac:dyDescent="0.2">
      <c r="A16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690BA-1349-BE43-A0BA-DC673A2699D1}">
  <sheetPr codeName="Sheet1"/>
  <dimension ref="A1:P17"/>
  <sheetViews>
    <sheetView zoomScale="112" workbookViewId="0">
      <selection activeCell="J23" sqref="J23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5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15">
        <v>0</v>
      </c>
      <c r="N3" s="14"/>
      <c r="O3" s="15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2" t="str">
        <f t="shared" ref="J4:J15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">
        <v>0</v>
      </c>
      <c r="N4" s="1"/>
      <c r="O4" s="2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2" t="str">
        <f t="shared" si="0"/>
        <v>Unsatisfactory</v>
      </c>
      <c r="K5" s="10"/>
      <c r="L5" s="1"/>
      <c r="M5" s="2">
        <v>0</v>
      </c>
      <c r="N5" s="1"/>
      <c r="O5" s="2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2" t="str">
        <f t="shared" si="0"/>
        <v>Unsatisfactory</v>
      </c>
      <c r="K6" s="10"/>
      <c r="L6" s="1"/>
      <c r="M6" s="2">
        <v>0</v>
      </c>
      <c r="N6" s="1"/>
      <c r="O6" s="2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2" t="str">
        <f t="shared" si="0"/>
        <v>Unsatisfactory</v>
      </c>
      <c r="K7" s="10"/>
      <c r="L7" s="1"/>
      <c r="M7" s="2">
        <v>0</v>
      </c>
      <c r="N7" s="1"/>
      <c r="O7" s="2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2" t="str">
        <f t="shared" si="0"/>
        <v>Unsatisfactory</v>
      </c>
      <c r="K8" s="10"/>
      <c r="L8" s="1"/>
      <c r="M8" s="2">
        <v>0</v>
      </c>
      <c r="N8" s="1"/>
      <c r="O8" s="2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2" t="str">
        <f t="shared" si="0"/>
        <v>Unsatisfactory</v>
      </c>
      <c r="K9" s="10"/>
      <c r="L9" s="1"/>
      <c r="M9" s="2">
        <v>0</v>
      </c>
      <c r="N9" s="1"/>
      <c r="O9" s="2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2" t="str">
        <f t="shared" si="0"/>
        <v>Unsatisfactory</v>
      </c>
      <c r="K10" s="10"/>
      <c r="L10" s="1"/>
      <c r="M10" s="2">
        <v>0</v>
      </c>
      <c r="N10" s="1"/>
      <c r="O10" s="2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2" t="str">
        <f t="shared" si="0"/>
        <v>Unsatisfactory</v>
      </c>
      <c r="K11" s="10"/>
      <c r="L11" s="1"/>
      <c r="M11" s="2">
        <v>0</v>
      </c>
      <c r="N11" s="1"/>
      <c r="O11" s="2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2" t="str">
        <f t="shared" si="0"/>
        <v>Unsatisfactory</v>
      </c>
      <c r="K12" s="10"/>
      <c r="L12" s="1"/>
      <c r="M12" s="2">
        <v>0</v>
      </c>
      <c r="N12" s="1"/>
      <c r="O12" s="2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2" t="str">
        <f t="shared" si="0"/>
        <v>Unsatisfactory</v>
      </c>
      <c r="K13" s="10"/>
      <c r="L13" s="1"/>
      <c r="M13" s="2">
        <v>0</v>
      </c>
      <c r="N13" s="1"/>
      <c r="O13" s="2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2" t="str">
        <f t="shared" si="0"/>
        <v>Unsatisfactory</v>
      </c>
      <c r="K14" s="10"/>
      <c r="L14" s="1"/>
      <c r="M14" s="2">
        <v>0</v>
      </c>
      <c r="N14" s="1"/>
      <c r="O14" s="2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2" t="str">
        <f t="shared" si="0"/>
        <v>Unsatisfactory</v>
      </c>
      <c r="K15" s="10"/>
      <c r="L15" s="1"/>
      <c r="M15" s="2">
        <v>0</v>
      </c>
      <c r="N15" s="1"/>
      <c r="O15" s="2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2" t="str">
        <f t="shared" ref="J16:J17" si="1">IF(COUNTIF(B16:H16,"Absent")&gt;=3, "Unsatisfactory",
 IF(COUNTIF(B16:H16,"Absent")=2, "Below Expectations",
 IF(OR(COUNTIF(B16:H16,"Absent")=1,
        COUNTIF(B16:H16,"Camera Off")&gt;0,
        COUNTIF(C16:I16,"Poor")&gt;0), "Needs Improvement",
 IF(COUNTIF(C16:I16,"Exceptional")&gt;=1, "Exceeds Expectations",
 "Meets Expectations"))))</f>
        <v>Unsatisfactory</v>
      </c>
      <c r="K16" s="10"/>
      <c r="L16" s="1"/>
      <c r="M16" s="2">
        <v>0</v>
      </c>
      <c r="N16" s="1"/>
      <c r="O16" s="2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4" t="str">
        <f t="shared" si="1"/>
        <v>Unsatisfactory</v>
      </c>
      <c r="K17" s="11"/>
      <c r="L17" s="3"/>
      <c r="M17" s="4">
        <v>0</v>
      </c>
      <c r="N17" s="3"/>
      <c r="O17" s="4">
        <v>0</v>
      </c>
      <c r="P17" s="11"/>
    </row>
  </sheetData>
  <mergeCells count="6">
    <mergeCell ref="K1:P1"/>
    <mergeCell ref="J1:J2"/>
    <mergeCell ref="B1:C1"/>
    <mergeCell ref="D1:E1"/>
    <mergeCell ref="F1:G1"/>
    <mergeCell ref="H1:I1"/>
  </mergeCells>
  <conditionalFormatting sqref="B3:B17">
    <cfRule type="cellIs" dxfId="589" priority="77" operator="equal">
      <formula>"Present"</formula>
    </cfRule>
    <cfRule type="cellIs" dxfId="588" priority="78" operator="equal">
      <formula>"Camera Off"</formula>
    </cfRule>
    <cfRule type="cellIs" dxfId="587" priority="79" operator="equal">
      <formula>"Late"</formula>
    </cfRule>
    <cfRule type="cellIs" dxfId="586" priority="80" operator="equal">
      <formula>"Absent"</formula>
    </cfRule>
  </conditionalFormatting>
  <conditionalFormatting sqref="D3:D17">
    <cfRule type="cellIs" dxfId="580" priority="73" operator="equal">
      <formula>"Present"</formula>
    </cfRule>
    <cfRule type="cellIs" dxfId="579" priority="74" operator="equal">
      <formula>"Camera Off"</formula>
    </cfRule>
    <cfRule type="cellIs" dxfId="578" priority="75" operator="equal">
      <formula>"Late"</formula>
    </cfRule>
    <cfRule type="cellIs" dxfId="577" priority="76" operator="equal">
      <formula>"Absent"</formula>
    </cfRule>
  </conditionalFormatting>
  <conditionalFormatting sqref="M3:M17">
    <cfRule type="cellIs" dxfId="553" priority="42" stopIfTrue="1" operator="lessThanOrEqual">
      <formula>25</formula>
    </cfRule>
    <cfRule type="cellIs" dxfId="552" priority="43" operator="between">
      <formula>25</formula>
      <formula>75</formula>
    </cfRule>
    <cfRule type="cellIs" dxfId="551" priority="44" operator="greaterThanOrEqual">
      <formula>75</formula>
    </cfRule>
  </conditionalFormatting>
  <conditionalFormatting sqref="O3:O17">
    <cfRule type="cellIs" dxfId="550" priority="39" stopIfTrue="1" operator="lessThanOrEqual">
      <formula>25</formula>
    </cfRule>
    <cfRule type="cellIs" dxfId="549" priority="40" operator="between">
      <formula>25</formula>
      <formula>75</formula>
    </cfRule>
    <cfRule type="cellIs" dxfId="548" priority="41" operator="greaterThanOrEqual">
      <formula>75</formula>
    </cfRule>
  </conditionalFormatting>
  <conditionalFormatting sqref="J3:J17">
    <cfRule type="cellIs" dxfId="547" priority="34" operator="equal">
      <formula>"Exceeds Expectations"</formula>
    </cfRule>
    <cfRule type="cellIs" dxfId="546" priority="35" operator="equal">
      <formula>"Meets Expectations"</formula>
    </cfRule>
    <cfRule type="cellIs" dxfId="545" priority="36" operator="equal">
      <formula>"Needs Improvement"</formula>
    </cfRule>
    <cfRule type="cellIs" dxfId="544" priority="37" operator="equal">
      <formula>"Below Expectations"</formula>
    </cfRule>
    <cfRule type="cellIs" dxfId="543" priority="38" operator="equal">
      <formula>"Unsatisfactory"</formula>
    </cfRule>
  </conditionalFormatting>
  <conditionalFormatting sqref="E3:E17">
    <cfRule type="cellIs" dxfId="255" priority="24" operator="equal">
      <formula>"N/A"</formula>
    </cfRule>
    <cfRule type="cellIs" dxfId="254" priority="25" operator="equal">
      <formula>"Exceptional"</formula>
    </cfRule>
    <cfRule type="cellIs" dxfId="253" priority="26" operator="equal">
      <formula>"Good"</formula>
    </cfRule>
    <cfRule type="cellIs" dxfId="252" priority="27" operator="equal">
      <formula>"Average"</formula>
    </cfRule>
    <cfRule type="cellIs" dxfId="251" priority="28" operator="equal">
      <formula>"Poor"</formula>
    </cfRule>
  </conditionalFormatting>
  <conditionalFormatting sqref="C3:C17">
    <cfRule type="cellIs" dxfId="250" priority="19" operator="equal">
      <formula>"N/A"</formula>
    </cfRule>
    <cfRule type="cellIs" dxfId="249" priority="20" operator="equal">
      <formula>"Exceptional"</formula>
    </cfRule>
    <cfRule type="cellIs" dxfId="248" priority="21" operator="equal">
      <formula>"Good"</formula>
    </cfRule>
    <cfRule type="cellIs" dxfId="247" priority="22" operator="equal">
      <formula>"Average"</formula>
    </cfRule>
    <cfRule type="cellIs" dxfId="246" priority="23" operator="equal">
      <formula>"Poor"</formula>
    </cfRule>
  </conditionalFormatting>
  <conditionalFormatting sqref="F3:F17">
    <cfRule type="cellIs" dxfId="245" priority="15" operator="equal">
      <formula>"Present"</formula>
    </cfRule>
    <cfRule type="cellIs" dxfId="244" priority="16" operator="equal">
      <formula>"Camera Off"</formula>
    </cfRule>
    <cfRule type="cellIs" dxfId="243" priority="17" operator="equal">
      <formula>"Late"</formula>
    </cfRule>
    <cfRule type="cellIs" dxfId="242" priority="18" operator="equal">
      <formula>"Absent"</formula>
    </cfRule>
  </conditionalFormatting>
  <conditionalFormatting sqref="H3:H17">
    <cfRule type="cellIs" dxfId="241" priority="11" operator="equal">
      <formula>"Present"</formula>
    </cfRule>
    <cfRule type="cellIs" dxfId="240" priority="12" operator="equal">
      <formula>"Camera Off"</formula>
    </cfRule>
    <cfRule type="cellIs" dxfId="239" priority="13" operator="equal">
      <formula>"Late"</formula>
    </cfRule>
    <cfRule type="cellIs" dxfId="238" priority="14" operator="equal">
      <formula>"Absent"</formula>
    </cfRule>
  </conditionalFormatting>
  <conditionalFormatting sqref="I3:I17">
    <cfRule type="cellIs" dxfId="237" priority="6" operator="equal">
      <formula>"N/A"</formula>
    </cfRule>
    <cfRule type="cellIs" dxfId="236" priority="7" operator="equal">
      <formula>"Exceptional"</formula>
    </cfRule>
    <cfRule type="cellIs" dxfId="235" priority="8" operator="equal">
      <formula>"Good"</formula>
    </cfRule>
    <cfRule type="cellIs" dxfId="234" priority="9" operator="equal">
      <formula>"Average"</formula>
    </cfRule>
    <cfRule type="cellIs" dxfId="233" priority="10" operator="equal">
      <formula>"Poor"</formula>
    </cfRule>
  </conditionalFormatting>
  <conditionalFormatting sqref="G3:G17">
    <cfRule type="cellIs" dxfId="232" priority="1" operator="equal">
      <formula>"N/A"</formula>
    </cfRule>
    <cfRule type="cellIs" dxfId="231" priority="2" operator="equal">
      <formula>"Exceptional"</formula>
    </cfRule>
    <cfRule type="cellIs" dxfId="230" priority="3" operator="equal">
      <formula>"Good"</formula>
    </cfRule>
    <cfRule type="cellIs" dxfId="229" priority="4" operator="equal">
      <formula>"Average"</formula>
    </cfRule>
    <cfRule type="cellIs" dxfId="228" priority="5" operator="equal">
      <formula>"Poor"</formula>
    </cfRule>
  </conditionalFormatting>
  <dataValidations count="3">
    <dataValidation type="list" allowBlank="1" showInputMessage="1" showErrorMessage="1" sqref="D3:D17 H3:H17" xr:uid="{46BE36C7-2FEF-DB4E-9932-47197334CA7D}">
      <formula1>"Present,Absent,Late"</formula1>
    </dataValidation>
    <dataValidation type="list" allowBlank="1" showInputMessage="1" showErrorMessage="1" sqref="B3:B17 F3:F17" xr:uid="{AD1ED373-6294-554C-89C1-E81B670065F1}">
      <formula1>"Present,Absent,Late,Camera Off"</formula1>
    </dataValidation>
    <dataValidation type="list" allowBlank="1" showInputMessage="1" showErrorMessage="1" sqref="E3:E17 C3:C17 I3:I17 G3:G17" xr:uid="{3F71DFB7-27DE-0643-980F-5E6DAB2C36D0}">
      <formula1>"N/A,Poor,Average,Good,Exceptional"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D49ED-3157-BA44-BF88-6FF8009F2EBF}">
  <sheetPr codeName="Sheet2"/>
  <dimension ref="A1:P17"/>
  <sheetViews>
    <sheetView topLeftCell="G1" zoomScale="116" workbookViewId="0">
      <selection activeCell="M3" sqref="M3:M17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15">
        <v>0</v>
      </c>
      <c r="N3" s="14"/>
      <c r="O3" s="15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">
        <v>0</v>
      </c>
      <c r="N4" s="1"/>
      <c r="O4" s="2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">
        <v>0</v>
      </c>
      <c r="N5" s="1"/>
      <c r="O5" s="2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">
        <v>0</v>
      </c>
      <c r="N6" s="1"/>
      <c r="O6" s="2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">
        <v>0</v>
      </c>
      <c r="N7" s="1"/>
      <c r="O7" s="2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">
        <v>0</v>
      </c>
      <c r="N8" s="1"/>
      <c r="O8" s="2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">
        <v>0</v>
      </c>
      <c r="N9" s="1"/>
      <c r="O9" s="2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">
        <v>0</v>
      </c>
      <c r="N10" s="1"/>
      <c r="O10" s="2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">
        <v>0</v>
      </c>
      <c r="N11" s="1"/>
      <c r="O11" s="2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">
        <v>0</v>
      </c>
      <c r="N12" s="1"/>
      <c r="O12" s="2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">
        <v>0</v>
      </c>
      <c r="N13" s="1"/>
      <c r="O13" s="2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">
        <v>0</v>
      </c>
      <c r="N14" s="1"/>
      <c r="O14" s="2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">
        <v>0</v>
      </c>
      <c r="N15" s="1"/>
      <c r="O15" s="2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">
        <v>0</v>
      </c>
      <c r="N16" s="1"/>
      <c r="O16" s="2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4">
        <v>0</v>
      </c>
      <c r="N17" s="3"/>
      <c r="O17" s="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M3:M17">
    <cfRule type="cellIs" dxfId="506" priority="48" stopIfTrue="1" operator="lessThanOrEqual">
      <formula>25</formula>
    </cfRule>
    <cfRule type="cellIs" dxfId="505" priority="49" operator="between">
      <formula>25</formula>
      <formula>75</formula>
    </cfRule>
    <cfRule type="cellIs" dxfId="504" priority="50" operator="greaterThanOrEqual">
      <formula>75</formula>
    </cfRule>
  </conditionalFormatting>
  <conditionalFormatting sqref="J3:J17">
    <cfRule type="cellIs" dxfId="500" priority="40" operator="equal">
      <formula>"Exceeds Expectations"</formula>
    </cfRule>
    <cfRule type="cellIs" dxfId="499" priority="41" operator="equal">
      <formula>"Meets Expectations"</formula>
    </cfRule>
    <cfRule type="cellIs" dxfId="498" priority="42" operator="equal">
      <formula>"Needs Improvement"</formula>
    </cfRule>
    <cfRule type="cellIs" dxfId="497" priority="43" operator="equal">
      <formula>"Below Expectations"</formula>
    </cfRule>
    <cfRule type="cellIs" dxfId="496" priority="44" operator="equal">
      <formula>"Unsatisfactory"</formula>
    </cfRule>
  </conditionalFormatting>
  <conditionalFormatting sqref="B3:B17">
    <cfRule type="cellIs" dxfId="227" priority="36" operator="equal">
      <formula>"Present"</formula>
    </cfRule>
    <cfRule type="cellIs" dxfId="226" priority="37" operator="equal">
      <formula>"Camera Off"</formula>
    </cfRule>
    <cfRule type="cellIs" dxfId="225" priority="38" operator="equal">
      <formula>"Late"</formula>
    </cfRule>
    <cfRule type="cellIs" dxfId="224" priority="39" operator="equal">
      <formula>"Absent"</formula>
    </cfRule>
  </conditionalFormatting>
  <conditionalFormatting sqref="D3:D17">
    <cfRule type="cellIs" dxfId="223" priority="32" operator="equal">
      <formula>"Present"</formula>
    </cfRule>
    <cfRule type="cellIs" dxfId="222" priority="33" operator="equal">
      <formula>"Camera Off"</formula>
    </cfRule>
    <cfRule type="cellIs" dxfId="221" priority="34" operator="equal">
      <formula>"Late"</formula>
    </cfRule>
    <cfRule type="cellIs" dxfId="220" priority="35" operator="equal">
      <formula>"Absent"</formula>
    </cfRule>
  </conditionalFormatting>
  <conditionalFormatting sqref="E3:E17">
    <cfRule type="cellIs" dxfId="219" priority="27" operator="equal">
      <formula>"N/A"</formula>
    </cfRule>
    <cfRule type="cellIs" dxfId="218" priority="28" operator="equal">
      <formula>"Exceptional"</formula>
    </cfRule>
    <cfRule type="cellIs" dxfId="217" priority="29" operator="equal">
      <formula>"Good"</formula>
    </cfRule>
    <cfRule type="cellIs" dxfId="216" priority="30" operator="equal">
      <formula>"Average"</formula>
    </cfRule>
    <cfRule type="cellIs" dxfId="215" priority="31" operator="equal">
      <formula>"Poor"</formula>
    </cfRule>
  </conditionalFormatting>
  <conditionalFormatting sqref="C3:C17">
    <cfRule type="cellIs" dxfId="214" priority="22" operator="equal">
      <formula>"N/A"</formula>
    </cfRule>
    <cfRule type="cellIs" dxfId="213" priority="23" operator="equal">
      <formula>"Exceptional"</formula>
    </cfRule>
    <cfRule type="cellIs" dxfId="212" priority="24" operator="equal">
      <formula>"Good"</formula>
    </cfRule>
    <cfRule type="cellIs" dxfId="211" priority="25" operator="equal">
      <formula>"Average"</formula>
    </cfRule>
    <cfRule type="cellIs" dxfId="210" priority="26" operator="equal">
      <formula>"Poor"</formula>
    </cfRule>
  </conditionalFormatting>
  <conditionalFormatting sqref="F3:F17">
    <cfRule type="cellIs" dxfId="209" priority="18" operator="equal">
      <formula>"Present"</formula>
    </cfRule>
    <cfRule type="cellIs" dxfId="208" priority="19" operator="equal">
      <formula>"Camera Off"</formula>
    </cfRule>
    <cfRule type="cellIs" dxfId="207" priority="20" operator="equal">
      <formula>"Late"</formula>
    </cfRule>
    <cfRule type="cellIs" dxfId="206" priority="21" operator="equal">
      <formula>"Absent"</formula>
    </cfRule>
  </conditionalFormatting>
  <conditionalFormatting sqref="H3:H17">
    <cfRule type="cellIs" dxfId="205" priority="14" operator="equal">
      <formula>"Present"</formula>
    </cfRule>
    <cfRule type="cellIs" dxfId="204" priority="15" operator="equal">
      <formula>"Camera Off"</formula>
    </cfRule>
    <cfRule type="cellIs" dxfId="203" priority="16" operator="equal">
      <formula>"Late"</formula>
    </cfRule>
    <cfRule type="cellIs" dxfId="202" priority="17" operator="equal">
      <formula>"Absent"</formula>
    </cfRule>
  </conditionalFormatting>
  <conditionalFormatting sqref="I3:I17">
    <cfRule type="cellIs" dxfId="201" priority="9" operator="equal">
      <formula>"N/A"</formula>
    </cfRule>
    <cfRule type="cellIs" dxfId="200" priority="10" operator="equal">
      <formula>"Exceptional"</formula>
    </cfRule>
    <cfRule type="cellIs" dxfId="199" priority="11" operator="equal">
      <formula>"Good"</formula>
    </cfRule>
    <cfRule type="cellIs" dxfId="198" priority="12" operator="equal">
      <formula>"Average"</formula>
    </cfRule>
    <cfRule type="cellIs" dxfId="197" priority="13" operator="equal">
      <formula>"Poor"</formula>
    </cfRule>
  </conditionalFormatting>
  <conditionalFormatting sqref="G3:G17">
    <cfRule type="cellIs" dxfId="196" priority="4" operator="equal">
      <formula>"N/A"</formula>
    </cfRule>
    <cfRule type="cellIs" dxfId="195" priority="5" operator="equal">
      <formula>"Exceptional"</formula>
    </cfRule>
    <cfRule type="cellIs" dxfId="194" priority="6" operator="equal">
      <formula>"Good"</formula>
    </cfRule>
    <cfRule type="cellIs" dxfId="193" priority="7" operator="equal">
      <formula>"Average"</formula>
    </cfRule>
    <cfRule type="cellIs" dxfId="192" priority="8" operator="equal">
      <formula>"Poor"</formula>
    </cfRule>
  </conditionalFormatting>
  <conditionalFormatting sqref="O3:O17">
    <cfRule type="cellIs" dxfId="11" priority="1" stopIfTrue="1" operator="lessThanOrEqual">
      <formula>25</formula>
    </cfRule>
    <cfRule type="cellIs" dxfId="10" priority="2" operator="between">
      <formula>25</formula>
      <formula>75</formula>
    </cfRule>
    <cfRule type="cellIs" dxfId="9" priority="3" operator="greaterThanOrEqual">
      <formula>75</formula>
    </cfRule>
  </conditionalFormatting>
  <dataValidations disablePrompts="1" count="3">
    <dataValidation type="list" allowBlank="1" showInputMessage="1" showErrorMessage="1" sqref="E3:E17 C3:C17 I3:I17 G3:G17" xr:uid="{6DB8FC35-D270-B04B-888C-C0C9C187800E}">
      <formula1>"N/A,Poor,Average,Good,Exceptional"</formula1>
    </dataValidation>
    <dataValidation type="list" allowBlank="1" showInputMessage="1" showErrorMessage="1" sqref="B3:B17 F3:F17" xr:uid="{80025B0B-935D-F94F-85DB-C3FC78004EB1}">
      <formula1>"Present,Absent,Late,Camera Off"</formula1>
    </dataValidation>
    <dataValidation type="list" allowBlank="1" showInputMessage="1" showErrorMessage="1" sqref="D3:D17 H3:H17" xr:uid="{CC037EA5-F5F6-D745-9BF7-688B1E5AE6E6}">
      <formula1>"Present,Absent,Late"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78CE1-1CF8-7747-9ADD-197B411677A2}">
  <sheetPr codeName="Sheet8"/>
  <dimension ref="A1:P17"/>
  <sheetViews>
    <sheetView topLeftCell="H1" zoomScale="116" workbookViewId="0">
      <selection activeCell="P6" sqref="P6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15">
        <v>0</v>
      </c>
      <c r="N3" s="14"/>
      <c r="O3" s="22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">
        <v>0</v>
      </c>
      <c r="N4" s="1"/>
      <c r="O4" s="23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">
        <v>0</v>
      </c>
      <c r="N5" s="1"/>
      <c r="O5" s="23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">
        <v>0</v>
      </c>
      <c r="N6" s="1"/>
      <c r="O6" s="23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">
        <v>0</v>
      </c>
      <c r="N7" s="1"/>
      <c r="O7" s="23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">
        <v>0</v>
      </c>
      <c r="N8" s="1"/>
      <c r="O8" s="23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">
        <v>0</v>
      </c>
      <c r="N9" s="1"/>
      <c r="O9" s="23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">
        <v>0</v>
      </c>
      <c r="N10" s="1"/>
      <c r="O10" s="23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">
        <v>0</v>
      </c>
      <c r="N11" s="1"/>
      <c r="O11" s="23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">
        <v>0</v>
      </c>
      <c r="N12" s="1"/>
      <c r="O12" s="23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">
        <v>0</v>
      </c>
      <c r="N13" s="1"/>
      <c r="O13" s="23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">
        <v>0</v>
      </c>
      <c r="N14" s="1"/>
      <c r="O14" s="23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">
        <v>0</v>
      </c>
      <c r="N15" s="1"/>
      <c r="O15" s="23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">
        <v>0</v>
      </c>
      <c r="N16" s="1"/>
      <c r="O16" s="23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4">
        <v>0</v>
      </c>
      <c r="N17" s="3"/>
      <c r="O17" s="2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J3:J17">
    <cfRule type="cellIs" dxfId="453" priority="40" operator="equal">
      <formula>"Exceeds Expectations"</formula>
    </cfRule>
    <cfRule type="cellIs" dxfId="452" priority="41" operator="equal">
      <formula>"Meets Expectations"</formula>
    </cfRule>
    <cfRule type="cellIs" dxfId="451" priority="42" operator="equal">
      <formula>"Needs Improvement"</formula>
    </cfRule>
    <cfRule type="cellIs" dxfId="450" priority="43" operator="equal">
      <formula>"Below Expectations"</formula>
    </cfRule>
    <cfRule type="cellIs" dxfId="449" priority="44" operator="equal">
      <formula>"Unsatisfactory"</formula>
    </cfRule>
  </conditionalFormatting>
  <conditionalFormatting sqref="B3:B17">
    <cfRule type="cellIs" dxfId="191" priority="36" operator="equal">
      <formula>"Present"</formula>
    </cfRule>
    <cfRule type="cellIs" dxfId="190" priority="37" operator="equal">
      <formula>"Camera Off"</formula>
    </cfRule>
    <cfRule type="cellIs" dxfId="189" priority="38" operator="equal">
      <formula>"Late"</formula>
    </cfRule>
    <cfRule type="cellIs" dxfId="188" priority="39" operator="equal">
      <formula>"Absent"</formula>
    </cfRule>
  </conditionalFormatting>
  <conditionalFormatting sqref="D3:D17">
    <cfRule type="cellIs" dxfId="187" priority="32" operator="equal">
      <formula>"Present"</formula>
    </cfRule>
    <cfRule type="cellIs" dxfId="186" priority="33" operator="equal">
      <formula>"Camera Off"</formula>
    </cfRule>
    <cfRule type="cellIs" dxfId="185" priority="34" operator="equal">
      <formula>"Late"</formula>
    </cfRule>
    <cfRule type="cellIs" dxfId="184" priority="35" operator="equal">
      <formula>"Absent"</formula>
    </cfRule>
  </conditionalFormatting>
  <conditionalFormatting sqref="E3:E17">
    <cfRule type="cellIs" dxfId="183" priority="27" operator="equal">
      <formula>"N/A"</formula>
    </cfRule>
    <cfRule type="cellIs" dxfId="182" priority="28" operator="equal">
      <formula>"Exceptional"</formula>
    </cfRule>
    <cfRule type="cellIs" dxfId="181" priority="29" operator="equal">
      <formula>"Good"</formula>
    </cfRule>
    <cfRule type="cellIs" dxfId="180" priority="30" operator="equal">
      <formula>"Average"</formula>
    </cfRule>
    <cfRule type="cellIs" dxfId="179" priority="31" operator="equal">
      <formula>"Poor"</formula>
    </cfRule>
  </conditionalFormatting>
  <conditionalFormatting sqref="C3:C17">
    <cfRule type="cellIs" dxfId="178" priority="22" operator="equal">
      <formula>"N/A"</formula>
    </cfRule>
    <cfRule type="cellIs" dxfId="177" priority="23" operator="equal">
      <formula>"Exceptional"</formula>
    </cfRule>
    <cfRule type="cellIs" dxfId="176" priority="24" operator="equal">
      <formula>"Good"</formula>
    </cfRule>
    <cfRule type="cellIs" dxfId="175" priority="25" operator="equal">
      <formula>"Average"</formula>
    </cfRule>
    <cfRule type="cellIs" dxfId="174" priority="26" operator="equal">
      <formula>"Poor"</formula>
    </cfRule>
  </conditionalFormatting>
  <conditionalFormatting sqref="F3:F17">
    <cfRule type="cellIs" dxfId="173" priority="18" operator="equal">
      <formula>"Present"</formula>
    </cfRule>
    <cfRule type="cellIs" dxfId="172" priority="19" operator="equal">
      <formula>"Camera Off"</formula>
    </cfRule>
    <cfRule type="cellIs" dxfId="171" priority="20" operator="equal">
      <formula>"Late"</formula>
    </cfRule>
    <cfRule type="cellIs" dxfId="170" priority="21" operator="equal">
      <formula>"Absent"</formula>
    </cfRule>
  </conditionalFormatting>
  <conditionalFormatting sqref="H3:H17">
    <cfRule type="cellIs" dxfId="169" priority="14" operator="equal">
      <formula>"Present"</formula>
    </cfRule>
    <cfRule type="cellIs" dxfId="168" priority="15" operator="equal">
      <formula>"Camera Off"</formula>
    </cfRule>
    <cfRule type="cellIs" dxfId="167" priority="16" operator="equal">
      <formula>"Late"</formula>
    </cfRule>
    <cfRule type="cellIs" dxfId="166" priority="17" operator="equal">
      <formula>"Absent"</formula>
    </cfRule>
  </conditionalFormatting>
  <conditionalFormatting sqref="I3:I17">
    <cfRule type="cellIs" dxfId="165" priority="9" operator="equal">
      <formula>"N/A"</formula>
    </cfRule>
    <cfRule type="cellIs" dxfId="164" priority="10" operator="equal">
      <formula>"Exceptional"</formula>
    </cfRule>
    <cfRule type="cellIs" dxfId="163" priority="11" operator="equal">
      <formula>"Good"</formula>
    </cfRule>
    <cfRule type="cellIs" dxfId="162" priority="12" operator="equal">
      <formula>"Average"</formula>
    </cfRule>
    <cfRule type="cellIs" dxfId="161" priority="13" operator="equal">
      <formula>"Poor"</formula>
    </cfRule>
  </conditionalFormatting>
  <conditionalFormatting sqref="G3:G17">
    <cfRule type="cellIs" dxfId="160" priority="4" operator="equal">
      <formula>"N/A"</formula>
    </cfRule>
    <cfRule type="cellIs" dxfId="159" priority="5" operator="equal">
      <formula>"Exceptional"</formula>
    </cfRule>
    <cfRule type="cellIs" dxfId="158" priority="6" operator="equal">
      <formula>"Good"</formula>
    </cfRule>
    <cfRule type="cellIs" dxfId="157" priority="7" operator="equal">
      <formula>"Average"</formula>
    </cfRule>
    <cfRule type="cellIs" dxfId="156" priority="8" operator="equal">
      <formula>"Poor"</formula>
    </cfRule>
  </conditionalFormatting>
  <conditionalFormatting sqref="M3:M17">
    <cfRule type="cellIs" dxfId="2" priority="1" stopIfTrue="1" operator="lessThanOrEqual">
      <formula>25</formula>
    </cfRule>
    <cfRule type="cellIs" dxfId="1" priority="2" operator="between">
      <formula>25</formula>
      <formula>75</formula>
    </cfRule>
    <cfRule type="cellIs" dxfId="0" priority="3" operator="greaterThanOrEqual">
      <formula>75</formula>
    </cfRule>
  </conditionalFormatting>
  <dataValidations count="3">
    <dataValidation type="list" allowBlank="1" showInputMessage="1" showErrorMessage="1" sqref="D3:D17 H3:H17" xr:uid="{779D4B6E-97EE-DA47-B7EB-8860057BDA40}">
      <formula1>"Present,Absent,Late"</formula1>
    </dataValidation>
    <dataValidation type="list" allowBlank="1" showInputMessage="1" showErrorMessage="1" sqref="B3:B17 F3:F17" xr:uid="{758C7C16-126E-5E44-92EA-FD4B5C3FD0D6}">
      <formula1>"Present,Absent,Late,Camera Off"</formula1>
    </dataValidation>
    <dataValidation type="list" allowBlank="1" showInputMessage="1" showErrorMessage="1" sqref="E3:E17 C3:C17 I3:I17 G3:G17" xr:uid="{DB662110-5871-304C-82E9-179D6DD0E3A9}">
      <formula1>"N/A,Poor,Average,Good,Exceptional"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D60B-95C6-8D42-8C15-660F14B896D5}">
  <sheetPr codeName="Sheet9"/>
  <dimension ref="A1:P17"/>
  <sheetViews>
    <sheetView topLeftCell="I1" zoomScale="116" workbookViewId="0">
      <selection activeCell="O3" sqref="O3:O17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22">
        <v>0</v>
      </c>
      <c r="N3" s="14"/>
      <c r="O3" s="22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3">
        <v>0</v>
      </c>
      <c r="N4" s="1"/>
      <c r="O4" s="23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3">
        <v>0</v>
      </c>
      <c r="N5" s="1"/>
      <c r="O5" s="23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3">
        <v>0</v>
      </c>
      <c r="N6" s="1"/>
      <c r="O6" s="23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3">
        <v>0</v>
      </c>
      <c r="N7" s="1"/>
      <c r="O7" s="23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3">
        <v>0</v>
      </c>
      <c r="N8" s="1"/>
      <c r="O8" s="23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3">
        <v>0</v>
      </c>
      <c r="N9" s="1"/>
      <c r="O9" s="23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3">
        <v>0</v>
      </c>
      <c r="N10" s="1"/>
      <c r="O10" s="23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3">
        <v>0</v>
      </c>
      <c r="N11" s="1"/>
      <c r="O11" s="23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3">
        <v>0</v>
      </c>
      <c r="N12" s="1"/>
      <c r="O12" s="23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3">
        <v>0</v>
      </c>
      <c r="N13" s="1"/>
      <c r="O13" s="23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3">
        <v>0</v>
      </c>
      <c r="N14" s="1"/>
      <c r="O14" s="23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3">
        <v>0</v>
      </c>
      <c r="N15" s="1"/>
      <c r="O15" s="23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3">
        <v>0</v>
      </c>
      <c r="N16" s="1"/>
      <c r="O16" s="23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24">
        <v>0</v>
      </c>
      <c r="N17" s="3"/>
      <c r="O17" s="2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J3:J17">
    <cfRule type="cellIs" dxfId="406" priority="37" operator="equal">
      <formula>"Exceeds Expectations"</formula>
    </cfRule>
    <cfRule type="cellIs" dxfId="405" priority="38" operator="equal">
      <formula>"Meets Expectations"</formula>
    </cfRule>
    <cfRule type="cellIs" dxfId="404" priority="39" operator="equal">
      <formula>"Needs Improvement"</formula>
    </cfRule>
    <cfRule type="cellIs" dxfId="403" priority="40" operator="equal">
      <formula>"Below Expectations"</formula>
    </cfRule>
    <cfRule type="cellIs" dxfId="402" priority="41" operator="equal">
      <formula>"Unsatisfactory"</formula>
    </cfRule>
  </conditionalFormatting>
  <conditionalFormatting sqref="B3:B17">
    <cfRule type="cellIs" dxfId="155" priority="33" operator="equal">
      <formula>"Present"</formula>
    </cfRule>
    <cfRule type="cellIs" dxfId="154" priority="34" operator="equal">
      <formula>"Camera Off"</formula>
    </cfRule>
    <cfRule type="cellIs" dxfId="153" priority="35" operator="equal">
      <formula>"Late"</formula>
    </cfRule>
    <cfRule type="cellIs" dxfId="152" priority="36" operator="equal">
      <formula>"Absent"</formula>
    </cfRule>
  </conditionalFormatting>
  <conditionalFormatting sqref="D3:D17">
    <cfRule type="cellIs" dxfId="151" priority="29" operator="equal">
      <formula>"Present"</formula>
    </cfRule>
    <cfRule type="cellIs" dxfId="150" priority="30" operator="equal">
      <formula>"Camera Off"</formula>
    </cfRule>
    <cfRule type="cellIs" dxfId="149" priority="31" operator="equal">
      <formula>"Late"</formula>
    </cfRule>
    <cfRule type="cellIs" dxfId="148" priority="32" operator="equal">
      <formula>"Absent"</formula>
    </cfRule>
  </conditionalFormatting>
  <conditionalFormatting sqref="E3:E17">
    <cfRule type="cellIs" dxfId="147" priority="24" operator="equal">
      <formula>"N/A"</formula>
    </cfRule>
    <cfRule type="cellIs" dxfId="146" priority="25" operator="equal">
      <formula>"Exceptional"</formula>
    </cfRule>
    <cfRule type="cellIs" dxfId="145" priority="26" operator="equal">
      <formula>"Good"</formula>
    </cfRule>
    <cfRule type="cellIs" dxfId="144" priority="27" operator="equal">
      <formula>"Average"</formula>
    </cfRule>
    <cfRule type="cellIs" dxfId="143" priority="28" operator="equal">
      <formula>"Poor"</formula>
    </cfRule>
  </conditionalFormatting>
  <conditionalFormatting sqref="C3:C17">
    <cfRule type="cellIs" dxfId="142" priority="19" operator="equal">
      <formula>"N/A"</formula>
    </cfRule>
    <cfRule type="cellIs" dxfId="141" priority="20" operator="equal">
      <formula>"Exceptional"</formula>
    </cfRule>
    <cfRule type="cellIs" dxfId="140" priority="21" operator="equal">
      <formula>"Good"</formula>
    </cfRule>
    <cfRule type="cellIs" dxfId="139" priority="22" operator="equal">
      <formula>"Average"</formula>
    </cfRule>
    <cfRule type="cellIs" dxfId="138" priority="23" operator="equal">
      <formula>"Poor"</formula>
    </cfRule>
  </conditionalFormatting>
  <conditionalFormatting sqref="F3:F17">
    <cfRule type="cellIs" dxfId="137" priority="15" operator="equal">
      <formula>"Present"</formula>
    </cfRule>
    <cfRule type="cellIs" dxfId="136" priority="16" operator="equal">
      <formula>"Camera Off"</formula>
    </cfRule>
    <cfRule type="cellIs" dxfId="135" priority="17" operator="equal">
      <formula>"Late"</formula>
    </cfRule>
    <cfRule type="cellIs" dxfId="134" priority="18" operator="equal">
      <formula>"Absent"</formula>
    </cfRule>
  </conditionalFormatting>
  <conditionalFormatting sqref="H3:H17">
    <cfRule type="cellIs" dxfId="133" priority="11" operator="equal">
      <formula>"Present"</formula>
    </cfRule>
    <cfRule type="cellIs" dxfId="132" priority="12" operator="equal">
      <formula>"Camera Off"</formula>
    </cfRule>
    <cfRule type="cellIs" dxfId="131" priority="13" operator="equal">
      <formula>"Late"</formula>
    </cfRule>
    <cfRule type="cellIs" dxfId="130" priority="14" operator="equal">
      <formula>"Absent"</formula>
    </cfRule>
  </conditionalFormatting>
  <conditionalFormatting sqref="I3:I17">
    <cfRule type="cellIs" dxfId="129" priority="6" operator="equal">
      <formula>"N/A"</formula>
    </cfRule>
    <cfRule type="cellIs" dxfId="128" priority="7" operator="equal">
      <formula>"Exceptional"</formula>
    </cfRule>
    <cfRule type="cellIs" dxfId="127" priority="8" operator="equal">
      <formula>"Good"</formula>
    </cfRule>
    <cfRule type="cellIs" dxfId="126" priority="9" operator="equal">
      <formula>"Average"</formula>
    </cfRule>
    <cfRule type="cellIs" dxfId="125" priority="10" operator="equal">
      <formula>"Poor"</formula>
    </cfRule>
  </conditionalFormatting>
  <conditionalFormatting sqref="G3:G17">
    <cfRule type="cellIs" dxfId="124" priority="1" operator="equal">
      <formula>"N/A"</formula>
    </cfRule>
    <cfRule type="cellIs" dxfId="123" priority="2" operator="equal">
      <formula>"Exceptional"</formula>
    </cfRule>
    <cfRule type="cellIs" dxfId="122" priority="3" operator="equal">
      <formula>"Good"</formula>
    </cfRule>
    <cfRule type="cellIs" dxfId="121" priority="4" operator="equal">
      <formula>"Average"</formula>
    </cfRule>
    <cfRule type="cellIs" dxfId="120" priority="5" operator="equal">
      <formula>"Poor"</formula>
    </cfRule>
  </conditionalFormatting>
  <dataValidations count="3">
    <dataValidation type="list" allowBlank="1" showInputMessage="1" showErrorMessage="1" sqref="E3:E17 C3:C17 I3:I17 G3:G17" xr:uid="{A8A022A2-264C-C445-9220-0ADC0956BF3E}">
      <formula1>"N/A,Poor,Average,Good,Exceptional"</formula1>
    </dataValidation>
    <dataValidation type="list" allowBlank="1" showInputMessage="1" showErrorMessage="1" sqref="B3:B17 F3:F17" xr:uid="{219DDF67-D52C-344C-B8FE-12041C9BF298}">
      <formula1>"Present,Absent,Late,Camera Off"</formula1>
    </dataValidation>
    <dataValidation type="list" allowBlank="1" showInputMessage="1" showErrorMessage="1" sqref="D3:D17 H3:H17" xr:uid="{1E5A8613-3E8B-1048-AE01-38EDFED0E58D}">
      <formula1>"Present,Absent,Late"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0D45-0747-A646-8F45-79C3E6F015D2}">
  <dimension ref="A1:L16"/>
  <sheetViews>
    <sheetView topLeftCell="B1" zoomScale="136" workbookViewId="0">
      <selection activeCell="K1" sqref="K1:K4"/>
    </sheetView>
  </sheetViews>
  <sheetFormatPr baseColWidth="10" defaultRowHeight="16" x14ac:dyDescent="0.2"/>
  <cols>
    <col min="1" max="1" width="16.83203125" customWidth="1"/>
    <col min="4" max="4" width="12.33203125" customWidth="1"/>
    <col min="5" max="5" width="20" customWidth="1"/>
    <col min="6" max="6" width="22.1640625" customWidth="1"/>
  </cols>
  <sheetData>
    <row r="1" spans="1:12" x14ac:dyDescent="0.2">
      <c r="A1" s="13" t="s">
        <v>14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K1" s="25" t="s">
        <v>30</v>
      </c>
      <c r="L1" s="15" t="s">
        <v>15</v>
      </c>
    </row>
    <row r="2" spans="1:12" x14ac:dyDescent="0.2">
      <c r="A2" t="str">
        <f>Roster!A2</f>
        <v xml:space="preserve"> </v>
      </c>
      <c r="B2" cm="1">
        <f t="array" aca="1" ref="B2" ca="1">SUMPRODUCT(
   COUNTIF(
     INDIRECT( "'" &amp; sheetlist &amp; "'!B" &amp; ROW() + 1&amp; ":I" &amp; ROW() + 1 ),
     "Absent"
   )
)</f>
        <v>16</v>
      </c>
      <c r="C2" cm="1">
        <f t="array" aca="1" ref="C2" ca="1">SUMPRODUCT(
   COUNTIF(
     INDIRECT( "'" &amp; sheetlist &amp; "'!B" &amp; ROW() + 1&amp; ":I" &amp; ROW() + 1 ),
     "Late"
   )
)</f>
        <v>0</v>
      </c>
      <c r="D2" cm="1">
        <f t="array" aca="1" ref="D2" ca="1">SUMPRODUCT(
   COUNTIF(
     INDIRECT( "'" &amp; sheetlist &amp; "'!B" &amp; ROW() + 1&amp; ":I" &amp; ROW() + 1 ),
     "Camera Off"
   )
)</f>
        <v>0</v>
      </c>
      <c r="E2" cm="1">
        <f t="array" aca="1" ref="E2" ca="1">SUMPRODUCT(
   COUNTIF(
     INDIRECT( "'" &amp; sheetlist &amp; "'!B" &amp; ROW() + 1&amp; ":I" &amp; ROW() + 1 ),
     "Poor"
   )
)</f>
        <v>0</v>
      </c>
      <c r="F2" cm="1">
        <f t="array" aca="1" ref="F2" ca="1">SUMPRODUCT(
   COUNTIF(
     INDIRECT( "'" &amp; sheetlist &amp; "'!B" &amp; ROW() + 1&amp; ":I" &amp; ROW() + 1 ),
     "Exceptional"
   )
)</f>
        <v>0</v>
      </c>
      <c r="K2" s="26"/>
      <c r="L2" s="2" t="s">
        <v>16</v>
      </c>
    </row>
    <row r="3" spans="1:12" x14ac:dyDescent="0.2">
      <c r="A3" t="str">
        <f>Roster!A3</f>
        <v xml:space="preserve"> </v>
      </c>
      <c r="B3" cm="1">
        <f t="array" aca="1" ref="B3" ca="1">SUMPRODUCT(
   COUNTIF(
     INDIRECT( "'" &amp; sheetlist &amp; "'!B" &amp; ROW() + 1&amp; ":I" &amp; ROW() + 1 ),
     "Absent"
   )
)</f>
        <v>16</v>
      </c>
      <c r="C3" cm="1">
        <f t="array" aca="1" ref="C3" ca="1">SUMPRODUCT(
   COUNTIF(
     INDIRECT( "'" &amp; sheetlist &amp; "'!B" &amp; ROW() + 1&amp; ":I" &amp; ROW() + 1 ),
     "Late"
   )
)</f>
        <v>0</v>
      </c>
      <c r="D3" cm="1">
        <f t="array" aca="1" ref="D3" ca="1">SUMPRODUCT(
   COUNTIF(
     INDIRECT( "'" &amp; sheetlist &amp; "'!B" &amp; ROW() + 1&amp; ":I" &amp; ROW() + 1 ),
     "Camera Off"
   )
)</f>
        <v>0</v>
      </c>
      <c r="E3" cm="1">
        <f t="array" aca="1" ref="E3" ca="1">SUMPRODUCT(
   COUNTIF(
     INDIRECT( "'" &amp; sheetlist &amp; "'!B" &amp; ROW() + 1&amp; ":I" &amp; ROW() + 1 ),
     "Poor"
   )
)</f>
        <v>0</v>
      </c>
      <c r="F3" cm="1">
        <f t="array" aca="1" ref="F3" ca="1">SUMPRODUCT(
   COUNTIF(
     INDIRECT( "'" &amp; sheetlist &amp; "'!B" &amp; ROW() + 1&amp; ":I" &amp; ROW() + 1 ),
     "Exceptional"
   )
)</f>
        <v>0</v>
      </c>
      <c r="K3" s="26"/>
      <c r="L3" s="2" t="s">
        <v>17</v>
      </c>
    </row>
    <row r="4" spans="1:12" ht="17" thickBot="1" x14ac:dyDescent="0.25">
      <c r="A4" t="str">
        <f>Roster!A4</f>
        <v xml:space="preserve"> </v>
      </c>
      <c r="B4" cm="1">
        <f t="array" aca="1" ref="B4" ca="1">SUMPRODUCT(
   COUNTIF(
     INDIRECT( "'" &amp; sheetlist &amp; "'!B" &amp; ROW() + 1&amp; ":I" &amp; ROW() + 1 ),
     "Absent"
   )
)</f>
        <v>16</v>
      </c>
      <c r="C4" cm="1">
        <f t="array" aca="1" ref="C4" ca="1">SUMPRODUCT(
   COUNTIF(
     INDIRECT( "'" &amp; sheetlist &amp; "'!B" &amp; ROW() + 1&amp; ":I" &amp; ROW() + 1 ),
     "Late"
   )
)</f>
        <v>0</v>
      </c>
      <c r="D4" cm="1">
        <f t="array" aca="1" ref="D4" ca="1">SUMPRODUCT(
   COUNTIF(
     INDIRECT( "'" &amp; sheetlist &amp; "'!B" &amp; ROW() + 1&amp; ":I" &amp; ROW() + 1 ),
     "Camera Off"
   )
)</f>
        <v>0</v>
      </c>
      <c r="E4" cm="1">
        <f t="array" aca="1" ref="E4" ca="1">SUMPRODUCT(
   COUNTIF(
     INDIRECT( "'" &amp; sheetlist &amp; "'!B" &amp; ROW() + 1&amp; ":I" &amp; ROW() + 1 ),
     "Poor"
   )
)</f>
        <v>0</v>
      </c>
      <c r="F4" cm="1">
        <f t="array" aca="1" ref="F4" ca="1">SUMPRODUCT(
   COUNTIF(
     INDIRECT( "'" &amp; sheetlist &amp; "'!B" &amp; ROW() + 1&amp; ":I" &amp; ROW() + 1 ),
     "Exceptional"
   )
)</f>
        <v>0</v>
      </c>
      <c r="K4" s="27"/>
      <c r="L4" s="4" t="s">
        <v>18</v>
      </c>
    </row>
    <row r="5" spans="1:12" x14ac:dyDescent="0.2">
      <c r="A5" t="str">
        <f>Roster!A5</f>
        <v xml:space="preserve"> </v>
      </c>
      <c r="B5" cm="1">
        <f t="array" aca="1" ref="B5" ca="1">SUMPRODUCT(
   COUNTIF(
     INDIRECT( "'" &amp; sheetlist &amp; "'!B" &amp; ROW() + 1&amp; ":I" &amp; ROW() + 1 ),
     "Absent"
   )
)</f>
        <v>16</v>
      </c>
      <c r="C5" cm="1">
        <f t="array" aca="1" ref="C5" ca="1">SUMPRODUCT(
   COUNTIF(
     INDIRECT( "'" &amp; sheetlist &amp; "'!B" &amp; ROW() + 1&amp; ":I" &amp; ROW() + 1 ),
     "Late"
   )
)</f>
        <v>0</v>
      </c>
      <c r="D5" cm="1">
        <f t="array" aca="1" ref="D5" ca="1">SUMPRODUCT(
   COUNTIF(
     INDIRECT( "'" &amp; sheetlist &amp; "'!B" &amp; ROW() + 1&amp; ":I" &amp; ROW() + 1 ),
     "Camera Off"
   )
)</f>
        <v>0</v>
      </c>
      <c r="E5" cm="1">
        <f t="array" aca="1" ref="E5" ca="1">SUMPRODUCT(
   COUNTIF(
     INDIRECT( "'" &amp; sheetlist &amp; "'!B" &amp; ROW() + 1&amp; ":I" &amp; ROW() + 1 ),
     "Poor"
   )
)</f>
        <v>0</v>
      </c>
      <c r="F5" cm="1">
        <f t="array" aca="1" ref="F5" ca="1">SUMPRODUCT(
   COUNTIF(
     INDIRECT( "'" &amp; sheetlist &amp; "'!B" &amp; ROW() + 1&amp; ":I" &amp; ROW() + 1 ),
     "Exceptional"
   )
)</f>
        <v>0</v>
      </c>
    </row>
    <row r="6" spans="1:12" x14ac:dyDescent="0.2">
      <c r="A6" t="str">
        <f>Roster!A6</f>
        <v xml:space="preserve"> </v>
      </c>
      <c r="B6" cm="1">
        <f t="array" aca="1" ref="B6" ca="1">SUMPRODUCT(
   COUNTIF(
     INDIRECT( "'" &amp; sheetlist &amp; "'!B" &amp; ROW() + 1&amp; ":I" &amp; ROW() + 1 ),
     "Absent"
   )
)</f>
        <v>16</v>
      </c>
      <c r="C6" cm="1">
        <f t="array" aca="1" ref="C6" ca="1">SUMPRODUCT(
   COUNTIF(
     INDIRECT( "'" &amp; sheetlist &amp; "'!B" &amp; ROW() + 1&amp; ":I" &amp; ROW() + 1 ),
     "Late"
   )
)</f>
        <v>0</v>
      </c>
      <c r="D6" cm="1">
        <f t="array" aca="1" ref="D6" ca="1">SUMPRODUCT(
   COUNTIF(
     INDIRECT( "'" &amp; sheetlist &amp; "'!B" &amp; ROW() + 1&amp; ":I" &amp; ROW() + 1 ),
     "Camera Off"
   )
)</f>
        <v>0</v>
      </c>
      <c r="E6" cm="1">
        <f t="array" aca="1" ref="E6" ca="1">SUMPRODUCT(
   COUNTIF(
     INDIRECT( "'" &amp; sheetlist &amp; "'!B" &amp; ROW() + 1&amp; ":I" &amp; ROW() + 1 ),
     "Poor"
   )
)</f>
        <v>0</v>
      </c>
      <c r="F6" cm="1">
        <f t="array" aca="1" ref="F6" ca="1">SUMPRODUCT(
   COUNTIF(
     INDIRECT( "'" &amp; sheetlist &amp; "'!B" &amp; ROW() + 1&amp; ":I" &amp; ROW() + 1 ),
     "Exceptional"
   )
)</f>
        <v>0</v>
      </c>
    </row>
    <row r="7" spans="1:12" x14ac:dyDescent="0.2">
      <c r="A7" t="str">
        <f>Roster!A7</f>
        <v xml:space="preserve"> </v>
      </c>
      <c r="B7" cm="1">
        <f t="array" aca="1" ref="B7" ca="1">SUMPRODUCT(
   COUNTIF(
     INDIRECT( "'" &amp; sheetlist &amp; "'!B" &amp; ROW() + 1&amp; ":I" &amp; ROW() + 1 ),
     "Absent"
   )
)</f>
        <v>16</v>
      </c>
      <c r="C7" cm="1">
        <f t="array" aca="1" ref="C7" ca="1">SUMPRODUCT(
   COUNTIF(
     INDIRECT( "'" &amp; sheetlist &amp; "'!B" &amp; ROW() + 1&amp; ":I" &amp; ROW() + 1 ),
     "Late"
   )
)</f>
        <v>0</v>
      </c>
      <c r="D7" cm="1">
        <f t="array" aca="1" ref="D7" ca="1">SUMPRODUCT(
   COUNTIF(
     INDIRECT( "'" &amp; sheetlist &amp; "'!B" &amp; ROW() + 1&amp; ":I" &amp; ROW() + 1 ),
     "Camera Off"
   )
)</f>
        <v>0</v>
      </c>
      <c r="E7" cm="1">
        <f t="array" aca="1" ref="E7" ca="1">SUMPRODUCT(
   COUNTIF(
     INDIRECT( "'" &amp; sheetlist &amp; "'!B" &amp; ROW() + 1&amp; ":I" &amp; ROW() + 1 ),
     "Poor"
   )
)</f>
        <v>0</v>
      </c>
      <c r="F7" cm="1">
        <f t="array" aca="1" ref="F7" ca="1">SUMPRODUCT(
   COUNTIF(
     INDIRECT( "'" &amp; sheetlist &amp; "'!B" &amp; ROW() + 1&amp; ":I" &amp; ROW() + 1 ),
     "Exceptional"
   )
)</f>
        <v>0</v>
      </c>
    </row>
    <row r="8" spans="1:12" x14ac:dyDescent="0.2">
      <c r="A8" t="str">
        <f>Roster!A8</f>
        <v xml:space="preserve"> </v>
      </c>
      <c r="B8" cm="1">
        <f t="array" aca="1" ref="B8" ca="1">SUMPRODUCT(
   COUNTIF(
     INDIRECT( "'" &amp; sheetlist &amp; "'!B" &amp; ROW() + 1&amp; ":I" &amp; ROW() + 1 ),
     "Absent"
   )
)</f>
        <v>16</v>
      </c>
      <c r="C8" cm="1">
        <f t="array" aca="1" ref="C8" ca="1">SUMPRODUCT(
   COUNTIF(
     INDIRECT( "'" &amp; sheetlist &amp; "'!B" &amp; ROW() + 1&amp; ":I" &amp; ROW() + 1 ),
     "Late"
   )
)</f>
        <v>0</v>
      </c>
      <c r="D8" cm="1">
        <f t="array" aca="1" ref="D8" ca="1">SUMPRODUCT(
   COUNTIF(
     INDIRECT( "'" &amp; sheetlist &amp; "'!B" &amp; ROW() + 1&amp; ":I" &amp; ROW() + 1 ),
     "Camera Off"
   )
)</f>
        <v>0</v>
      </c>
      <c r="E8" cm="1">
        <f t="array" aca="1" ref="E8" ca="1">SUMPRODUCT(
   COUNTIF(
     INDIRECT( "'" &amp; sheetlist &amp; "'!B" &amp; ROW() + 1&amp; ":I" &amp; ROW() + 1 ),
     "Poor"
   )
)</f>
        <v>0</v>
      </c>
      <c r="F8" cm="1">
        <f t="array" aca="1" ref="F8" ca="1">SUMPRODUCT(
   COUNTIF(
     INDIRECT( "'" &amp; sheetlist &amp; "'!B" &amp; ROW() + 1&amp; ":I" &amp; ROW() + 1 ),
     "Exceptional"
   )
)</f>
        <v>0</v>
      </c>
    </row>
    <row r="9" spans="1:12" x14ac:dyDescent="0.2">
      <c r="A9" t="str">
        <f>Roster!A9</f>
        <v xml:space="preserve"> </v>
      </c>
      <c r="B9" cm="1">
        <f t="array" aca="1" ref="B9" ca="1">SUMPRODUCT(
   COUNTIF(
     INDIRECT( "'" &amp; sheetlist &amp; "'!B" &amp; ROW() + 1&amp; ":I" &amp; ROW() + 1 ),
     "Absent"
   )
)</f>
        <v>16</v>
      </c>
      <c r="C9" cm="1">
        <f t="array" aca="1" ref="C9" ca="1">SUMPRODUCT(
   COUNTIF(
     INDIRECT( "'" &amp; sheetlist &amp; "'!B" &amp; ROW() + 1&amp; ":I" &amp; ROW() + 1 ),
     "Late"
   )
)</f>
        <v>0</v>
      </c>
      <c r="D9" cm="1">
        <f t="array" aca="1" ref="D9" ca="1">SUMPRODUCT(
   COUNTIF(
     INDIRECT( "'" &amp; sheetlist &amp; "'!B" &amp; ROW() + 1&amp; ":I" &amp; ROW() + 1 ),
     "Camera Off"
   )
)</f>
        <v>0</v>
      </c>
      <c r="E9" cm="1">
        <f t="array" aca="1" ref="E9" ca="1">SUMPRODUCT(
   COUNTIF(
     INDIRECT( "'" &amp; sheetlist &amp; "'!B" &amp; ROW() + 1&amp; ":I" &amp; ROW() + 1 ),
     "Poor"
   )
)</f>
        <v>0</v>
      </c>
      <c r="F9" cm="1">
        <f t="array" aca="1" ref="F9" ca="1">SUMPRODUCT(
   COUNTIF(
     INDIRECT( "'" &amp; sheetlist &amp; "'!B" &amp; ROW() + 1&amp; ":I" &amp; ROW() + 1 ),
     "Exceptional"
   )
)</f>
        <v>0</v>
      </c>
    </row>
    <row r="10" spans="1:12" x14ac:dyDescent="0.2">
      <c r="A10" t="str">
        <f>Roster!A10</f>
        <v xml:space="preserve"> </v>
      </c>
      <c r="B10" cm="1">
        <f t="array" aca="1" ref="B10" ca="1">SUMPRODUCT(
   COUNTIF(
     INDIRECT( "'" &amp; sheetlist &amp; "'!B" &amp; ROW() + 1&amp; ":I" &amp; ROW() + 1 ),
     "Absent"
   )
)</f>
        <v>16</v>
      </c>
      <c r="C10" cm="1">
        <f t="array" aca="1" ref="C10" ca="1">SUMPRODUCT(
   COUNTIF(
     INDIRECT( "'" &amp; sheetlist &amp; "'!B" &amp; ROW() + 1&amp; ":I" &amp; ROW() + 1 ),
     "Late"
   )
)</f>
        <v>0</v>
      </c>
      <c r="D10" cm="1">
        <f t="array" aca="1" ref="D10" ca="1">SUMPRODUCT(
   COUNTIF(
     INDIRECT( "'" &amp; sheetlist &amp; "'!B" &amp; ROW() + 1&amp; ":I" &amp; ROW() + 1 ),
     "Camera Off"
   )
)</f>
        <v>0</v>
      </c>
      <c r="E10" cm="1">
        <f t="array" aca="1" ref="E10" ca="1">SUMPRODUCT(
   COUNTIF(
     INDIRECT( "'" &amp; sheetlist &amp; "'!B" &amp; ROW() + 1&amp; ":I" &amp; ROW() + 1 ),
     "Poor"
   )
)</f>
        <v>0</v>
      </c>
      <c r="F10" cm="1">
        <f t="array" aca="1" ref="F10" ca="1">SUMPRODUCT(
   COUNTIF(
     INDIRECT( "'" &amp; sheetlist &amp; "'!B" &amp; ROW() + 1&amp; ":I" &amp; ROW() + 1 ),
     "Exceptional"
   )
)</f>
        <v>0</v>
      </c>
    </row>
    <row r="11" spans="1:12" x14ac:dyDescent="0.2">
      <c r="A11" t="str">
        <f>Roster!A11</f>
        <v xml:space="preserve"> </v>
      </c>
      <c r="B11" cm="1">
        <f t="array" aca="1" ref="B11" ca="1">SUMPRODUCT(
   COUNTIF(
     INDIRECT( "'" &amp; sheetlist &amp; "'!B" &amp; ROW() + 1&amp; ":I" &amp; ROW() + 1 ),
     "Absent"
   )
)</f>
        <v>16</v>
      </c>
      <c r="C11" cm="1">
        <f t="array" aca="1" ref="C11" ca="1">SUMPRODUCT(
   COUNTIF(
     INDIRECT( "'" &amp; sheetlist &amp; "'!B" &amp; ROW() + 1&amp; ":I" &amp; ROW() + 1 ),
     "Late"
   )
)</f>
        <v>0</v>
      </c>
      <c r="D11" cm="1">
        <f t="array" aca="1" ref="D11" ca="1">SUMPRODUCT(
   COUNTIF(
     INDIRECT( "'" &amp; sheetlist &amp; "'!B" &amp; ROW() + 1&amp; ":I" &amp; ROW() + 1 ),
     "Camera Off"
   )
)</f>
        <v>0</v>
      </c>
      <c r="E11" cm="1">
        <f t="array" aca="1" ref="E11" ca="1">SUMPRODUCT(
   COUNTIF(
     INDIRECT( "'" &amp; sheetlist &amp; "'!B" &amp; ROW() + 1&amp; ":I" &amp; ROW() + 1 ),
     "Poor"
   )
)</f>
        <v>0</v>
      </c>
      <c r="F11" cm="1">
        <f t="array" aca="1" ref="F11" ca="1">SUMPRODUCT(
   COUNTIF(
     INDIRECT( "'" &amp; sheetlist &amp; "'!B" &amp; ROW() + 1&amp; ":I" &amp; ROW() + 1 ),
     "Exceptional"
   )
)</f>
        <v>0</v>
      </c>
    </row>
    <row r="12" spans="1:12" x14ac:dyDescent="0.2">
      <c r="A12" t="str">
        <f>Roster!A12</f>
        <v xml:space="preserve"> </v>
      </c>
      <c r="B12" cm="1">
        <f t="array" aca="1" ref="B12" ca="1">SUMPRODUCT(
   COUNTIF(
     INDIRECT( "'" &amp; sheetlist &amp; "'!B" &amp; ROW() + 1&amp; ":I" &amp; ROW() + 1 ),
     "Absent"
   )
)</f>
        <v>16</v>
      </c>
      <c r="C12" cm="1">
        <f t="array" aca="1" ref="C12" ca="1">SUMPRODUCT(
   COUNTIF(
     INDIRECT( "'" &amp; sheetlist &amp; "'!B" &amp; ROW() + 1&amp; ":I" &amp; ROW() + 1 ),
     "Late"
   )
)</f>
        <v>0</v>
      </c>
      <c r="D12" cm="1">
        <f t="array" aca="1" ref="D12" ca="1">SUMPRODUCT(
   COUNTIF(
     INDIRECT( "'" &amp; sheetlist &amp; "'!B" &amp; ROW() + 1&amp; ":I" &amp; ROW() + 1 ),
     "Camera Off"
   )
)</f>
        <v>0</v>
      </c>
      <c r="E12" cm="1">
        <f t="array" aca="1" ref="E12" ca="1">SUMPRODUCT(
   COUNTIF(
     INDIRECT( "'" &amp; sheetlist &amp; "'!B" &amp; ROW() + 1&amp; ":I" &amp; ROW() + 1 ),
     "Poor"
   )
)</f>
        <v>0</v>
      </c>
      <c r="F12" cm="1">
        <f t="array" aca="1" ref="F12" ca="1">SUMPRODUCT(
   COUNTIF(
     INDIRECT( "'" &amp; sheetlist &amp; "'!B" &amp; ROW() + 1&amp; ":I" &amp; ROW() + 1 ),
     "Exceptional"
   )
)</f>
        <v>0</v>
      </c>
    </row>
    <row r="13" spans="1:12" x14ac:dyDescent="0.2">
      <c r="A13" t="str">
        <f>Roster!A13</f>
        <v xml:space="preserve"> </v>
      </c>
      <c r="B13" cm="1">
        <f t="array" aca="1" ref="B13" ca="1">SUMPRODUCT(
   COUNTIF(
     INDIRECT( "'" &amp; sheetlist &amp; "'!B" &amp; ROW() + 1&amp; ":I" &amp; ROW() + 1 ),
     "Absent"
   )
)</f>
        <v>16</v>
      </c>
      <c r="C13" cm="1">
        <f t="array" aca="1" ref="C13" ca="1">SUMPRODUCT(
   COUNTIF(
     INDIRECT( "'" &amp; sheetlist &amp; "'!B" &amp; ROW() + 1&amp; ":I" &amp; ROW() + 1 ),
     "Late"
   )
)</f>
        <v>0</v>
      </c>
      <c r="D13" cm="1">
        <f t="array" aca="1" ref="D13" ca="1">SUMPRODUCT(
   COUNTIF(
     INDIRECT( "'" &amp; sheetlist &amp; "'!B" &amp; ROW() + 1&amp; ":I" &amp; ROW() + 1 ),
     "Camera Off"
   )
)</f>
        <v>0</v>
      </c>
      <c r="E13" cm="1">
        <f t="array" aca="1" ref="E13" ca="1">SUMPRODUCT(
   COUNTIF(
     INDIRECT( "'" &amp; sheetlist &amp; "'!B" &amp; ROW() + 1&amp; ":I" &amp; ROW() + 1 ),
     "Poor"
   )
)</f>
        <v>0</v>
      </c>
      <c r="F13" cm="1">
        <f t="array" aca="1" ref="F13" ca="1">SUMPRODUCT(
   COUNTIF(
     INDIRECT( "'" &amp; sheetlist &amp; "'!B" &amp; ROW() + 1&amp; ":I" &amp; ROW() + 1 ),
     "Exceptional"
   )
)</f>
        <v>0</v>
      </c>
    </row>
    <row r="14" spans="1:12" x14ac:dyDescent="0.2">
      <c r="A14" t="str">
        <f>Roster!A14</f>
        <v xml:space="preserve"> </v>
      </c>
      <c r="B14" cm="1">
        <f t="array" aca="1" ref="B14" ca="1">SUMPRODUCT(
   COUNTIF(
     INDIRECT( "'" &amp; sheetlist &amp; "'!B" &amp; ROW() + 1&amp; ":I" &amp; ROW() + 1 ),
     "Absent"
   )
)</f>
        <v>16</v>
      </c>
      <c r="C14" cm="1">
        <f t="array" aca="1" ref="C14" ca="1">SUMPRODUCT(
   COUNTIF(
     INDIRECT( "'" &amp; sheetlist &amp; "'!B" &amp; ROW() + 1&amp; ":I" &amp; ROW() + 1 ),
     "Late"
   )
)</f>
        <v>0</v>
      </c>
      <c r="D14" cm="1">
        <f t="array" aca="1" ref="D14" ca="1">SUMPRODUCT(
   COUNTIF(
     INDIRECT( "'" &amp; sheetlist &amp; "'!B" &amp; ROW() + 1&amp; ":I" &amp; ROW() + 1 ),
     "Camera Off"
   )
)</f>
        <v>0</v>
      </c>
      <c r="E14" cm="1">
        <f t="array" aca="1" ref="E14" ca="1">SUMPRODUCT(
   COUNTIF(
     INDIRECT( "'" &amp; sheetlist &amp; "'!B" &amp; ROW() + 1&amp; ":I" &amp; ROW() + 1 ),
     "Poor"
   )
)</f>
        <v>0</v>
      </c>
      <c r="F14" cm="1">
        <f t="array" aca="1" ref="F14" ca="1">SUMPRODUCT(
   COUNTIF(
     INDIRECT( "'" &amp; sheetlist &amp; "'!B" &amp; ROW() + 1&amp; ":I" &amp; ROW() + 1 ),
     "Exceptional"
   )
)</f>
        <v>0</v>
      </c>
    </row>
    <row r="15" spans="1:12" x14ac:dyDescent="0.2">
      <c r="A15" t="str">
        <f>Roster!A15</f>
        <v xml:space="preserve"> </v>
      </c>
      <c r="B15" cm="1">
        <f t="array" aca="1" ref="B15" ca="1">SUMPRODUCT(
   COUNTIF(
     INDIRECT( "'" &amp; sheetlist &amp; "'!B" &amp; ROW() + 1&amp; ":I" &amp; ROW() + 1 ),
     "Absent"
   )
)</f>
        <v>16</v>
      </c>
      <c r="C15" cm="1">
        <f t="array" aca="1" ref="C15" ca="1">SUMPRODUCT(
   COUNTIF(
     INDIRECT( "'" &amp; sheetlist &amp; "'!B" &amp; ROW() + 1&amp; ":I" &amp; ROW() + 1 ),
     "Late"
   )
)</f>
        <v>0</v>
      </c>
      <c r="D15" cm="1">
        <f t="array" aca="1" ref="D15" ca="1">SUMPRODUCT(
   COUNTIF(
     INDIRECT( "'" &amp; sheetlist &amp; "'!B" &amp; ROW() + 1&amp; ":I" &amp; ROW() + 1 ),
     "Camera Off"
   )
)</f>
        <v>0</v>
      </c>
      <c r="E15" cm="1">
        <f t="array" aca="1" ref="E15" ca="1">SUMPRODUCT(
   COUNTIF(
     INDIRECT( "'" &amp; sheetlist &amp; "'!B" &amp; ROW() + 1&amp; ":I" &amp; ROW() + 1 ),
     "Poor"
   )
)</f>
        <v>0</v>
      </c>
      <c r="F15" cm="1">
        <f t="array" aca="1" ref="F15" ca="1">SUMPRODUCT(
   COUNTIF(
     INDIRECT( "'" &amp; sheetlist &amp; "'!B" &amp; ROW() + 1&amp; ":I" &amp; ROW() + 1 ),
     "Exceptional"
   )
)</f>
        <v>0</v>
      </c>
    </row>
    <row r="16" spans="1:12" x14ac:dyDescent="0.2">
      <c r="A16" t="str">
        <f>Roster!A16</f>
        <v xml:space="preserve"> </v>
      </c>
      <c r="B16" cm="1">
        <f t="array" aca="1" ref="B16" ca="1">SUMPRODUCT(
   COUNTIF(
     INDIRECT( "'" &amp; sheetlist &amp; "'!B" &amp; ROW() + 1&amp; ":I" &amp; ROW() + 1 ),
     "Absent"
   )
)</f>
        <v>16</v>
      </c>
      <c r="C16" cm="1">
        <f t="array" aca="1" ref="C16" ca="1">SUMPRODUCT(
   COUNTIF(
     INDIRECT( "'" &amp; sheetlist &amp; "'!B" &amp; ROW() + 1&amp; ":I" &amp; ROW() + 1 ),
     "Late"
   )
)</f>
        <v>0</v>
      </c>
      <c r="D16" cm="1">
        <f t="array" aca="1" ref="D16" ca="1">SUMPRODUCT(
   COUNTIF(
     INDIRECT( "'" &amp; sheetlist &amp; "'!B" &amp; ROW() + 1&amp; ":I" &amp; ROW() + 1 ),
     "Camera Off"
   )
)</f>
        <v>0</v>
      </c>
      <c r="E16" cm="1">
        <f t="array" aca="1" ref="E16" ca="1">SUMPRODUCT(
   COUNTIF(
     INDIRECT( "'" &amp; sheetlist &amp; "'!B" &amp; ROW() + 1&amp; ":I" &amp; ROW() + 1 ),
     "Poor"
   )
)</f>
        <v>0</v>
      </c>
      <c r="F16" cm="1">
        <f t="array" aca="1" ref="F16" ca="1">SUMPRODUCT(
   COUNTIF(
     INDIRECT( "'" &amp; sheetlist &amp; "'!B" &amp; ROW() + 1&amp; ":I" &amp; ROW() + 1 ),
     "Exceptional"
   )
)</f>
        <v>0</v>
      </c>
    </row>
  </sheetData>
  <mergeCells count="1">
    <mergeCell ref="K1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FFBC-A569-4D46-B96B-7E8F012EA463}">
  <sheetPr codeName="Sheet10"/>
  <dimension ref="A1:P17"/>
  <sheetViews>
    <sheetView topLeftCell="G1" zoomScale="116" workbookViewId="0">
      <selection activeCell="O3" sqref="O3:O17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22">
        <v>0</v>
      </c>
      <c r="N3" s="14"/>
      <c r="O3" s="22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3">
        <v>0</v>
      </c>
      <c r="N4" s="1"/>
      <c r="O4" s="23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3">
        <v>0</v>
      </c>
      <c r="N5" s="1"/>
      <c r="O5" s="23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3">
        <v>0</v>
      </c>
      <c r="N6" s="1"/>
      <c r="O6" s="23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3">
        <v>0</v>
      </c>
      <c r="N7" s="1"/>
      <c r="O7" s="23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3">
        <v>0</v>
      </c>
      <c r="N8" s="1"/>
      <c r="O8" s="23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3">
        <v>0</v>
      </c>
      <c r="N9" s="1"/>
      <c r="O9" s="23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3">
        <v>0</v>
      </c>
      <c r="N10" s="1"/>
      <c r="O10" s="23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3">
        <v>0</v>
      </c>
      <c r="N11" s="1"/>
      <c r="O11" s="23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3">
        <v>0</v>
      </c>
      <c r="N12" s="1"/>
      <c r="O12" s="23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3">
        <v>0</v>
      </c>
      <c r="N13" s="1"/>
      <c r="O13" s="23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3">
        <v>0</v>
      </c>
      <c r="N14" s="1"/>
      <c r="O14" s="23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3">
        <v>0</v>
      </c>
      <c r="N15" s="1"/>
      <c r="O15" s="23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3">
        <v>0</v>
      </c>
      <c r="N16" s="1"/>
      <c r="O16" s="23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24">
        <v>0</v>
      </c>
      <c r="N17" s="3"/>
      <c r="O17" s="2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J3:J17">
    <cfRule type="cellIs" dxfId="359" priority="37" operator="equal">
      <formula>"Exceeds Expectations"</formula>
    </cfRule>
    <cfRule type="cellIs" dxfId="358" priority="38" operator="equal">
      <formula>"Meets Expectations"</formula>
    </cfRule>
    <cfRule type="cellIs" dxfId="357" priority="39" operator="equal">
      <formula>"Needs Improvement"</formula>
    </cfRule>
    <cfRule type="cellIs" dxfId="356" priority="40" operator="equal">
      <formula>"Below Expectations"</formula>
    </cfRule>
    <cfRule type="cellIs" dxfId="355" priority="41" operator="equal">
      <formula>"Unsatisfactory"</formula>
    </cfRule>
  </conditionalFormatting>
  <conditionalFormatting sqref="B3:B17">
    <cfRule type="cellIs" dxfId="119" priority="33" operator="equal">
      <formula>"Present"</formula>
    </cfRule>
    <cfRule type="cellIs" dxfId="118" priority="34" operator="equal">
      <formula>"Camera Off"</formula>
    </cfRule>
    <cfRule type="cellIs" dxfId="117" priority="35" operator="equal">
      <formula>"Late"</formula>
    </cfRule>
    <cfRule type="cellIs" dxfId="116" priority="36" operator="equal">
      <formula>"Absent"</formula>
    </cfRule>
  </conditionalFormatting>
  <conditionalFormatting sqref="D3:D17">
    <cfRule type="cellIs" dxfId="115" priority="29" operator="equal">
      <formula>"Present"</formula>
    </cfRule>
    <cfRule type="cellIs" dxfId="114" priority="30" operator="equal">
      <formula>"Camera Off"</formula>
    </cfRule>
    <cfRule type="cellIs" dxfId="113" priority="31" operator="equal">
      <formula>"Late"</formula>
    </cfRule>
    <cfRule type="cellIs" dxfId="112" priority="32" operator="equal">
      <formula>"Absent"</formula>
    </cfRule>
  </conditionalFormatting>
  <conditionalFormatting sqref="E3:E17">
    <cfRule type="cellIs" dxfId="111" priority="24" operator="equal">
      <formula>"N/A"</formula>
    </cfRule>
    <cfRule type="cellIs" dxfId="110" priority="25" operator="equal">
      <formula>"Exceptional"</formula>
    </cfRule>
    <cfRule type="cellIs" dxfId="109" priority="26" operator="equal">
      <formula>"Good"</formula>
    </cfRule>
    <cfRule type="cellIs" dxfId="108" priority="27" operator="equal">
      <formula>"Average"</formula>
    </cfRule>
    <cfRule type="cellIs" dxfId="107" priority="28" operator="equal">
      <formula>"Poor"</formula>
    </cfRule>
  </conditionalFormatting>
  <conditionalFormatting sqref="C3:C17">
    <cfRule type="cellIs" dxfId="106" priority="19" operator="equal">
      <formula>"N/A"</formula>
    </cfRule>
    <cfRule type="cellIs" dxfId="105" priority="20" operator="equal">
      <formula>"Exceptional"</formula>
    </cfRule>
    <cfRule type="cellIs" dxfId="104" priority="21" operator="equal">
      <formula>"Good"</formula>
    </cfRule>
    <cfRule type="cellIs" dxfId="103" priority="22" operator="equal">
      <formula>"Average"</formula>
    </cfRule>
    <cfRule type="cellIs" dxfId="102" priority="23" operator="equal">
      <formula>"Poor"</formula>
    </cfRule>
  </conditionalFormatting>
  <conditionalFormatting sqref="F3:F17">
    <cfRule type="cellIs" dxfId="101" priority="15" operator="equal">
      <formula>"Present"</formula>
    </cfRule>
    <cfRule type="cellIs" dxfId="100" priority="16" operator="equal">
      <formula>"Camera Off"</formula>
    </cfRule>
    <cfRule type="cellIs" dxfId="99" priority="17" operator="equal">
      <formula>"Late"</formula>
    </cfRule>
    <cfRule type="cellIs" dxfId="98" priority="18" operator="equal">
      <formula>"Absent"</formula>
    </cfRule>
  </conditionalFormatting>
  <conditionalFormatting sqref="H3:H17">
    <cfRule type="cellIs" dxfId="97" priority="11" operator="equal">
      <formula>"Present"</formula>
    </cfRule>
    <cfRule type="cellIs" dxfId="96" priority="12" operator="equal">
      <formula>"Camera Off"</formula>
    </cfRule>
    <cfRule type="cellIs" dxfId="95" priority="13" operator="equal">
      <formula>"Late"</formula>
    </cfRule>
    <cfRule type="cellIs" dxfId="94" priority="14" operator="equal">
      <formula>"Absent"</formula>
    </cfRule>
  </conditionalFormatting>
  <conditionalFormatting sqref="I3:I17">
    <cfRule type="cellIs" dxfId="93" priority="6" operator="equal">
      <formula>"N/A"</formula>
    </cfRule>
    <cfRule type="cellIs" dxfId="92" priority="7" operator="equal">
      <formula>"Exceptional"</formula>
    </cfRule>
    <cfRule type="cellIs" dxfId="91" priority="8" operator="equal">
      <formula>"Good"</formula>
    </cfRule>
    <cfRule type="cellIs" dxfId="90" priority="9" operator="equal">
      <formula>"Average"</formula>
    </cfRule>
    <cfRule type="cellIs" dxfId="89" priority="10" operator="equal">
      <formula>"Poor"</formula>
    </cfRule>
  </conditionalFormatting>
  <conditionalFormatting sqref="G3:G17">
    <cfRule type="cellIs" dxfId="88" priority="1" operator="equal">
      <formula>"N/A"</formula>
    </cfRule>
    <cfRule type="cellIs" dxfId="87" priority="2" operator="equal">
      <formula>"Exceptional"</formula>
    </cfRule>
    <cfRule type="cellIs" dxfId="86" priority="3" operator="equal">
      <formula>"Good"</formula>
    </cfRule>
    <cfRule type="cellIs" dxfId="85" priority="4" operator="equal">
      <formula>"Average"</formula>
    </cfRule>
    <cfRule type="cellIs" dxfId="84" priority="5" operator="equal">
      <formula>"Poor"</formula>
    </cfRule>
  </conditionalFormatting>
  <dataValidations count="3">
    <dataValidation type="list" allowBlank="1" showInputMessage="1" showErrorMessage="1" sqref="D3:D17 H3:H17" xr:uid="{36A42F2E-21BB-0547-8E1B-8133216959B1}">
      <formula1>"Present,Absent,Late"</formula1>
    </dataValidation>
    <dataValidation type="list" allowBlank="1" showInputMessage="1" showErrorMessage="1" sqref="B3:B17 F3:F17" xr:uid="{1D591224-4185-5A4D-A6AD-74CAC5ADADE2}">
      <formula1>"Present,Absent,Late,Camera Off"</formula1>
    </dataValidation>
    <dataValidation type="list" allowBlank="1" showInputMessage="1" showErrorMessage="1" sqref="E3:E17 C3:C17 I3:I17 G3:G17" xr:uid="{2403D313-E44B-CB4B-A5E2-3B75FF6A27D1}">
      <formula1>"N/A,Poor,Average,Good,Exceptional"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47570-6BD4-164E-B947-92C5D67C848A}">
  <sheetPr codeName="Sheet11"/>
  <dimension ref="A1:P17"/>
  <sheetViews>
    <sheetView topLeftCell="F1" zoomScale="116" workbookViewId="0">
      <selection activeCell="O3" sqref="O3:O17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22">
        <v>0</v>
      </c>
      <c r="N3" s="14"/>
      <c r="O3" s="22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3">
        <v>0</v>
      </c>
      <c r="N4" s="1"/>
      <c r="O4" s="23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3">
        <v>0</v>
      </c>
      <c r="N5" s="1"/>
      <c r="O5" s="23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3">
        <v>0</v>
      </c>
      <c r="N6" s="1"/>
      <c r="O6" s="23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3">
        <v>0</v>
      </c>
      <c r="N7" s="1"/>
      <c r="O7" s="23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3">
        <v>0</v>
      </c>
      <c r="N8" s="1"/>
      <c r="O8" s="23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3">
        <v>0</v>
      </c>
      <c r="N9" s="1"/>
      <c r="O9" s="23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3">
        <v>0</v>
      </c>
      <c r="N10" s="1"/>
      <c r="O10" s="23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3">
        <v>0</v>
      </c>
      <c r="N11" s="1"/>
      <c r="O11" s="23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3">
        <v>0</v>
      </c>
      <c r="N12" s="1"/>
      <c r="O12" s="23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3">
        <v>0</v>
      </c>
      <c r="N13" s="1"/>
      <c r="O13" s="23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3">
        <v>0</v>
      </c>
      <c r="N14" s="1"/>
      <c r="O14" s="23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3">
        <v>0</v>
      </c>
      <c r="N15" s="1"/>
      <c r="O15" s="23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3">
        <v>0</v>
      </c>
      <c r="N16" s="1"/>
      <c r="O16" s="23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24">
        <v>0</v>
      </c>
      <c r="N17" s="3"/>
      <c r="O17" s="2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J3:J17">
    <cfRule type="cellIs" dxfId="312" priority="37" operator="equal">
      <formula>"Exceeds Expectations"</formula>
    </cfRule>
    <cfRule type="cellIs" dxfId="311" priority="38" operator="equal">
      <formula>"Meets Expectations"</formula>
    </cfRule>
    <cfRule type="cellIs" dxfId="310" priority="39" operator="equal">
      <formula>"Needs Improvement"</formula>
    </cfRule>
    <cfRule type="cellIs" dxfId="309" priority="40" operator="equal">
      <formula>"Below Expectations"</formula>
    </cfRule>
    <cfRule type="cellIs" dxfId="308" priority="41" operator="equal">
      <formula>"Unsatisfactory"</formula>
    </cfRule>
  </conditionalFormatting>
  <conditionalFormatting sqref="B3:B17">
    <cfRule type="cellIs" dxfId="83" priority="33" operator="equal">
      <formula>"Present"</formula>
    </cfRule>
    <cfRule type="cellIs" dxfId="82" priority="34" operator="equal">
      <formula>"Camera Off"</formula>
    </cfRule>
    <cfRule type="cellIs" dxfId="81" priority="35" operator="equal">
      <formula>"Late"</formula>
    </cfRule>
    <cfRule type="cellIs" dxfId="80" priority="36" operator="equal">
      <formula>"Absent"</formula>
    </cfRule>
  </conditionalFormatting>
  <conditionalFormatting sqref="D3:D17">
    <cfRule type="cellIs" dxfId="79" priority="29" operator="equal">
      <formula>"Present"</formula>
    </cfRule>
    <cfRule type="cellIs" dxfId="78" priority="30" operator="equal">
      <formula>"Camera Off"</formula>
    </cfRule>
    <cfRule type="cellIs" dxfId="77" priority="31" operator="equal">
      <formula>"Late"</formula>
    </cfRule>
    <cfRule type="cellIs" dxfId="76" priority="32" operator="equal">
      <formula>"Absent"</formula>
    </cfRule>
  </conditionalFormatting>
  <conditionalFormatting sqref="E3:E17">
    <cfRule type="cellIs" dxfId="75" priority="24" operator="equal">
      <formula>"N/A"</formula>
    </cfRule>
    <cfRule type="cellIs" dxfId="74" priority="25" operator="equal">
      <formula>"Exceptional"</formula>
    </cfRule>
    <cfRule type="cellIs" dxfId="73" priority="26" operator="equal">
      <formula>"Good"</formula>
    </cfRule>
    <cfRule type="cellIs" dxfId="72" priority="27" operator="equal">
      <formula>"Average"</formula>
    </cfRule>
    <cfRule type="cellIs" dxfId="71" priority="28" operator="equal">
      <formula>"Poor"</formula>
    </cfRule>
  </conditionalFormatting>
  <conditionalFormatting sqref="C3:C17">
    <cfRule type="cellIs" dxfId="70" priority="19" operator="equal">
      <formula>"N/A"</formula>
    </cfRule>
    <cfRule type="cellIs" dxfId="69" priority="20" operator="equal">
      <formula>"Exceptional"</formula>
    </cfRule>
    <cfRule type="cellIs" dxfId="68" priority="21" operator="equal">
      <formula>"Good"</formula>
    </cfRule>
    <cfRule type="cellIs" dxfId="67" priority="22" operator="equal">
      <formula>"Average"</formula>
    </cfRule>
    <cfRule type="cellIs" dxfId="66" priority="23" operator="equal">
      <formula>"Poor"</formula>
    </cfRule>
  </conditionalFormatting>
  <conditionalFormatting sqref="F3:F17">
    <cfRule type="cellIs" dxfId="65" priority="15" operator="equal">
      <formula>"Present"</formula>
    </cfRule>
    <cfRule type="cellIs" dxfId="64" priority="16" operator="equal">
      <formula>"Camera Off"</formula>
    </cfRule>
    <cfRule type="cellIs" dxfId="63" priority="17" operator="equal">
      <formula>"Late"</formula>
    </cfRule>
    <cfRule type="cellIs" dxfId="62" priority="18" operator="equal">
      <formula>"Absent"</formula>
    </cfRule>
  </conditionalFormatting>
  <conditionalFormatting sqref="H3:H17">
    <cfRule type="cellIs" dxfId="61" priority="11" operator="equal">
      <formula>"Present"</formula>
    </cfRule>
    <cfRule type="cellIs" dxfId="60" priority="12" operator="equal">
      <formula>"Camera Off"</formula>
    </cfRule>
    <cfRule type="cellIs" dxfId="59" priority="13" operator="equal">
      <formula>"Late"</formula>
    </cfRule>
    <cfRule type="cellIs" dxfId="58" priority="14" operator="equal">
      <formula>"Absent"</formula>
    </cfRule>
  </conditionalFormatting>
  <conditionalFormatting sqref="I3:I17">
    <cfRule type="cellIs" dxfId="57" priority="6" operator="equal">
      <formula>"N/A"</formula>
    </cfRule>
    <cfRule type="cellIs" dxfId="56" priority="7" operator="equal">
      <formula>"Exceptional"</formula>
    </cfRule>
    <cfRule type="cellIs" dxfId="55" priority="8" operator="equal">
      <formula>"Good"</formula>
    </cfRule>
    <cfRule type="cellIs" dxfId="54" priority="9" operator="equal">
      <formula>"Average"</formula>
    </cfRule>
    <cfRule type="cellIs" dxfId="53" priority="10" operator="equal">
      <formula>"Poor"</formula>
    </cfRule>
  </conditionalFormatting>
  <conditionalFormatting sqref="G3:G17">
    <cfRule type="cellIs" dxfId="52" priority="1" operator="equal">
      <formula>"N/A"</formula>
    </cfRule>
    <cfRule type="cellIs" dxfId="51" priority="2" operator="equal">
      <formula>"Exceptional"</formula>
    </cfRule>
    <cfRule type="cellIs" dxfId="50" priority="3" operator="equal">
      <formula>"Good"</formula>
    </cfRule>
    <cfRule type="cellIs" dxfId="49" priority="4" operator="equal">
      <formula>"Average"</formula>
    </cfRule>
    <cfRule type="cellIs" dxfId="48" priority="5" operator="equal">
      <formula>"Poor"</formula>
    </cfRule>
  </conditionalFormatting>
  <dataValidations count="3">
    <dataValidation type="list" allowBlank="1" showInputMessage="1" showErrorMessage="1" sqref="E3:E17 C3:C17 I3:I17 G3:G17" xr:uid="{0A7A258C-6F6F-F94C-B2D2-8A3336F8ED95}">
      <formula1>"N/A,Poor,Average,Good,Exceptional"</formula1>
    </dataValidation>
    <dataValidation type="list" allowBlank="1" showInputMessage="1" showErrorMessage="1" sqref="B3:B17 F3:F17" xr:uid="{90E8DD0F-B88D-3949-9065-E0BA12FC1CC8}">
      <formula1>"Present,Absent,Late,Camera Off"</formula1>
    </dataValidation>
    <dataValidation type="list" allowBlank="1" showInputMessage="1" showErrorMessage="1" sqref="D3:D17 H3:H17" xr:uid="{AEEA1C05-2B08-7847-8C19-426747C2EDE3}">
      <formula1>"Present,Absent,Late"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69F6-585A-F04A-9B0D-6D61E32CF43C}">
  <sheetPr codeName="Sheet12"/>
  <dimension ref="A1:P17"/>
  <sheetViews>
    <sheetView tabSelected="1" zoomScale="116" workbookViewId="0">
      <selection activeCell="O3" sqref="O3:O17"/>
    </sheetView>
  </sheetViews>
  <sheetFormatPr baseColWidth="10" defaultRowHeight="16" x14ac:dyDescent="0.2"/>
  <cols>
    <col min="2" max="9" width="12.1640625" customWidth="1"/>
    <col min="10" max="10" width="29" customWidth="1"/>
    <col min="11" max="11" width="31.6640625" customWidth="1"/>
    <col min="12" max="12" width="30" customWidth="1"/>
    <col min="13" max="13" width="10.5" customWidth="1"/>
    <col min="14" max="14" width="27.83203125" customWidth="1"/>
    <col min="15" max="15" width="10.33203125" customWidth="1"/>
    <col min="16" max="16" width="36.1640625" customWidth="1"/>
  </cols>
  <sheetData>
    <row r="1" spans="1:16" ht="36" customHeight="1" thickBot="1" x14ac:dyDescent="0.35">
      <c r="B1" s="17" t="s">
        <v>1</v>
      </c>
      <c r="C1" s="19"/>
      <c r="D1" s="17" t="s">
        <v>2</v>
      </c>
      <c r="E1" s="19"/>
      <c r="F1" s="17" t="s">
        <v>3</v>
      </c>
      <c r="G1" s="19"/>
      <c r="H1" s="17" t="s">
        <v>4</v>
      </c>
      <c r="I1" s="19"/>
      <c r="J1" s="20" t="s">
        <v>13</v>
      </c>
      <c r="K1" s="17" t="s">
        <v>7</v>
      </c>
      <c r="L1" s="18"/>
      <c r="M1" s="18"/>
      <c r="N1" s="18"/>
      <c r="O1" s="18"/>
      <c r="P1" s="19"/>
    </row>
    <row r="2" spans="1:16" ht="17" thickBot="1" x14ac:dyDescent="0.25">
      <c r="A2" t="s">
        <v>0</v>
      </c>
      <c r="B2" s="5" t="s">
        <v>5</v>
      </c>
      <c r="C2" s="6" t="s">
        <v>6</v>
      </c>
      <c r="D2" s="5" t="s">
        <v>5</v>
      </c>
      <c r="E2" s="6" t="s">
        <v>6</v>
      </c>
      <c r="F2" s="5" t="s">
        <v>5</v>
      </c>
      <c r="G2" s="6" t="s">
        <v>6</v>
      </c>
      <c r="H2" s="5" t="s">
        <v>5</v>
      </c>
      <c r="I2" s="6" t="s">
        <v>6</v>
      </c>
      <c r="J2" s="21"/>
      <c r="K2" s="9" t="s">
        <v>8</v>
      </c>
      <c r="L2" s="7" t="s">
        <v>9</v>
      </c>
      <c r="M2" s="12" t="s">
        <v>10</v>
      </c>
      <c r="N2" s="7" t="s">
        <v>11</v>
      </c>
      <c r="O2" s="12" t="s">
        <v>10</v>
      </c>
      <c r="P2" s="8" t="s">
        <v>12</v>
      </c>
    </row>
    <row r="3" spans="1:16" ht="25" customHeight="1" x14ac:dyDescent="0.2">
      <c r="A3" t="str">
        <f>Roster!A2</f>
        <v xml:space="preserve"> </v>
      </c>
      <c r="B3" s="14" t="s">
        <v>29</v>
      </c>
      <c r="C3" s="15" t="s">
        <v>28</v>
      </c>
      <c r="D3" s="14" t="s">
        <v>29</v>
      </c>
      <c r="E3" s="15" t="s">
        <v>28</v>
      </c>
      <c r="F3" s="14" t="s">
        <v>29</v>
      </c>
      <c r="G3" s="15" t="s">
        <v>28</v>
      </c>
      <c r="H3" s="14" t="s">
        <v>29</v>
      </c>
      <c r="I3" s="15" t="s">
        <v>28</v>
      </c>
      <c r="J3" s="16" t="str">
        <f>IF(COUNTIF(B3:H3,"Absent")&gt;=3, "Unsatisfactory",
 IF(COUNTIF(B3:H3,"Absent")=2, "Below Expectations",
 IF(OR(COUNTIF(B3:H3,"Absent")=1,
        COUNTIF(B3:H3,"Camera Off")&gt;0,
        COUNTIF(C3:I3,"Poor")&gt;0), "Needs Improvement",
 IF(COUNTIF(C3:I3,"Exceptional")&gt;=1, "Exceeds Expectations",
 "Meets Expectations"))))</f>
        <v>Unsatisfactory</v>
      </c>
      <c r="K3" s="16"/>
      <c r="L3" s="14"/>
      <c r="M3" s="22">
        <v>0</v>
      </c>
      <c r="N3" s="14"/>
      <c r="O3" s="22">
        <v>0</v>
      </c>
      <c r="P3" s="16"/>
    </row>
    <row r="4" spans="1:16" ht="25" customHeight="1" x14ac:dyDescent="0.2">
      <c r="A4" t="str">
        <f>Roster!A3</f>
        <v xml:space="preserve"> </v>
      </c>
      <c r="B4" s="1" t="s">
        <v>29</v>
      </c>
      <c r="C4" s="2" t="s">
        <v>28</v>
      </c>
      <c r="D4" s="1" t="s">
        <v>29</v>
      </c>
      <c r="E4" s="2" t="s">
        <v>28</v>
      </c>
      <c r="F4" s="1" t="s">
        <v>29</v>
      </c>
      <c r="G4" s="2" t="s">
        <v>28</v>
      </c>
      <c r="H4" s="1" t="s">
        <v>29</v>
      </c>
      <c r="I4" s="2" t="s">
        <v>28</v>
      </c>
      <c r="J4" s="10" t="str">
        <f t="shared" ref="J4:J17" si="0">IF(COUNTIF(B4:H4,"Absent")&gt;=3, "Unsatisfactory",
 IF(COUNTIF(B4:H4,"Absent")=2, "Below Expectations",
 IF(OR(COUNTIF(B4:H4,"Absent")=1,
        COUNTIF(B4:H4,"Camera Off")&gt;0,
        COUNTIF(C4:I4,"Poor")&gt;0), "Needs Improvement",
 IF(COUNTIF(C4:I4,"Exceptional")&gt;=1, "Exceeds Expectations",
 "Meets Expectations"))))</f>
        <v>Unsatisfactory</v>
      </c>
      <c r="K4" s="10"/>
      <c r="L4" s="1"/>
      <c r="M4" s="23">
        <v>0</v>
      </c>
      <c r="N4" s="1"/>
      <c r="O4" s="23">
        <v>0</v>
      </c>
      <c r="P4" s="10"/>
    </row>
    <row r="5" spans="1:16" ht="25" customHeight="1" x14ac:dyDescent="0.2">
      <c r="A5" t="str">
        <f>Roster!A4</f>
        <v xml:space="preserve"> </v>
      </c>
      <c r="B5" s="1" t="s">
        <v>29</v>
      </c>
      <c r="C5" s="2" t="s">
        <v>28</v>
      </c>
      <c r="D5" s="1" t="s">
        <v>29</v>
      </c>
      <c r="E5" s="2" t="s">
        <v>28</v>
      </c>
      <c r="F5" s="1" t="s">
        <v>29</v>
      </c>
      <c r="G5" s="2" t="s">
        <v>28</v>
      </c>
      <c r="H5" s="1" t="s">
        <v>29</v>
      </c>
      <c r="I5" s="2" t="s">
        <v>28</v>
      </c>
      <c r="J5" s="10" t="str">
        <f t="shared" si="0"/>
        <v>Unsatisfactory</v>
      </c>
      <c r="K5" s="10"/>
      <c r="L5" s="1"/>
      <c r="M5" s="23">
        <v>0</v>
      </c>
      <c r="N5" s="1"/>
      <c r="O5" s="23">
        <v>0</v>
      </c>
      <c r="P5" s="10"/>
    </row>
    <row r="6" spans="1:16" ht="25" customHeight="1" x14ac:dyDescent="0.2">
      <c r="A6" t="str">
        <f>Roster!A5</f>
        <v xml:space="preserve"> </v>
      </c>
      <c r="B6" s="1" t="s">
        <v>29</v>
      </c>
      <c r="C6" s="2" t="s">
        <v>28</v>
      </c>
      <c r="D6" s="1" t="s">
        <v>29</v>
      </c>
      <c r="E6" s="2" t="s">
        <v>28</v>
      </c>
      <c r="F6" s="1" t="s">
        <v>29</v>
      </c>
      <c r="G6" s="2" t="s">
        <v>28</v>
      </c>
      <c r="H6" s="1" t="s">
        <v>29</v>
      </c>
      <c r="I6" s="2" t="s">
        <v>28</v>
      </c>
      <c r="J6" s="10" t="str">
        <f t="shared" si="0"/>
        <v>Unsatisfactory</v>
      </c>
      <c r="K6" s="10"/>
      <c r="L6" s="1"/>
      <c r="M6" s="23">
        <v>0</v>
      </c>
      <c r="N6" s="1"/>
      <c r="O6" s="23">
        <v>0</v>
      </c>
      <c r="P6" s="10"/>
    </row>
    <row r="7" spans="1:16" ht="25" customHeight="1" x14ac:dyDescent="0.2">
      <c r="A7" t="str">
        <f>Roster!A6</f>
        <v xml:space="preserve"> </v>
      </c>
      <c r="B7" s="1" t="s">
        <v>29</v>
      </c>
      <c r="C7" s="2" t="s">
        <v>28</v>
      </c>
      <c r="D7" s="1" t="s">
        <v>29</v>
      </c>
      <c r="E7" s="2" t="s">
        <v>28</v>
      </c>
      <c r="F7" s="1" t="s">
        <v>29</v>
      </c>
      <c r="G7" s="2" t="s">
        <v>28</v>
      </c>
      <c r="H7" s="1" t="s">
        <v>29</v>
      </c>
      <c r="I7" s="2" t="s">
        <v>28</v>
      </c>
      <c r="J7" s="10" t="str">
        <f t="shared" si="0"/>
        <v>Unsatisfactory</v>
      </c>
      <c r="K7" s="10"/>
      <c r="L7" s="1"/>
      <c r="M7" s="23">
        <v>0</v>
      </c>
      <c r="N7" s="1"/>
      <c r="O7" s="23">
        <v>0</v>
      </c>
      <c r="P7" s="10"/>
    </row>
    <row r="8" spans="1:16" ht="25" customHeight="1" x14ac:dyDescent="0.2">
      <c r="A8" t="str">
        <f>Roster!A7</f>
        <v xml:space="preserve"> </v>
      </c>
      <c r="B8" s="1" t="s">
        <v>29</v>
      </c>
      <c r="C8" s="2" t="s">
        <v>28</v>
      </c>
      <c r="D8" s="1" t="s">
        <v>29</v>
      </c>
      <c r="E8" s="2" t="s">
        <v>28</v>
      </c>
      <c r="F8" s="1" t="s">
        <v>29</v>
      </c>
      <c r="G8" s="2" t="s">
        <v>28</v>
      </c>
      <c r="H8" s="1" t="s">
        <v>29</v>
      </c>
      <c r="I8" s="2" t="s">
        <v>28</v>
      </c>
      <c r="J8" s="10" t="str">
        <f t="shared" si="0"/>
        <v>Unsatisfactory</v>
      </c>
      <c r="K8" s="10"/>
      <c r="L8" s="1"/>
      <c r="M8" s="23">
        <v>0</v>
      </c>
      <c r="N8" s="1"/>
      <c r="O8" s="23">
        <v>0</v>
      </c>
      <c r="P8" s="10"/>
    </row>
    <row r="9" spans="1:16" ht="25" customHeight="1" x14ac:dyDescent="0.2">
      <c r="A9" t="str">
        <f>Roster!A8</f>
        <v xml:space="preserve"> </v>
      </c>
      <c r="B9" s="1" t="s">
        <v>29</v>
      </c>
      <c r="C9" s="2" t="s">
        <v>28</v>
      </c>
      <c r="D9" s="1" t="s">
        <v>29</v>
      </c>
      <c r="E9" s="2" t="s">
        <v>28</v>
      </c>
      <c r="F9" s="1" t="s">
        <v>29</v>
      </c>
      <c r="G9" s="2" t="s">
        <v>28</v>
      </c>
      <c r="H9" s="1" t="s">
        <v>29</v>
      </c>
      <c r="I9" s="2" t="s">
        <v>28</v>
      </c>
      <c r="J9" s="10" t="str">
        <f t="shared" si="0"/>
        <v>Unsatisfactory</v>
      </c>
      <c r="K9" s="10"/>
      <c r="L9" s="1"/>
      <c r="M9" s="23">
        <v>0</v>
      </c>
      <c r="N9" s="1"/>
      <c r="O9" s="23">
        <v>0</v>
      </c>
      <c r="P9" s="10"/>
    </row>
    <row r="10" spans="1:16" ht="25" customHeight="1" x14ac:dyDescent="0.2">
      <c r="A10" t="str">
        <f>Roster!A9</f>
        <v xml:space="preserve"> </v>
      </c>
      <c r="B10" s="1" t="s">
        <v>29</v>
      </c>
      <c r="C10" s="2" t="s">
        <v>28</v>
      </c>
      <c r="D10" s="1" t="s">
        <v>29</v>
      </c>
      <c r="E10" s="2" t="s">
        <v>28</v>
      </c>
      <c r="F10" s="1" t="s">
        <v>29</v>
      </c>
      <c r="G10" s="2" t="s">
        <v>28</v>
      </c>
      <c r="H10" s="1" t="s">
        <v>29</v>
      </c>
      <c r="I10" s="2" t="s">
        <v>28</v>
      </c>
      <c r="J10" s="10" t="str">
        <f t="shared" si="0"/>
        <v>Unsatisfactory</v>
      </c>
      <c r="K10" s="10"/>
      <c r="L10" s="1"/>
      <c r="M10" s="23">
        <v>0</v>
      </c>
      <c r="N10" s="1"/>
      <c r="O10" s="23">
        <v>0</v>
      </c>
      <c r="P10" s="10"/>
    </row>
    <row r="11" spans="1:16" ht="25" customHeight="1" x14ac:dyDescent="0.2">
      <c r="A11" t="str">
        <f>Roster!A10</f>
        <v xml:space="preserve"> </v>
      </c>
      <c r="B11" s="1" t="s">
        <v>29</v>
      </c>
      <c r="C11" s="2" t="s">
        <v>28</v>
      </c>
      <c r="D11" s="1" t="s">
        <v>29</v>
      </c>
      <c r="E11" s="2" t="s">
        <v>28</v>
      </c>
      <c r="F11" s="1" t="s">
        <v>29</v>
      </c>
      <c r="G11" s="2" t="s">
        <v>28</v>
      </c>
      <c r="H11" s="1" t="s">
        <v>29</v>
      </c>
      <c r="I11" s="2" t="s">
        <v>28</v>
      </c>
      <c r="J11" s="10" t="str">
        <f t="shared" si="0"/>
        <v>Unsatisfactory</v>
      </c>
      <c r="K11" s="10"/>
      <c r="L11" s="1"/>
      <c r="M11" s="23">
        <v>0</v>
      </c>
      <c r="N11" s="1"/>
      <c r="O11" s="23">
        <v>0</v>
      </c>
      <c r="P11" s="10"/>
    </row>
    <row r="12" spans="1:16" ht="25" customHeight="1" x14ac:dyDescent="0.2">
      <c r="A12" t="str">
        <f>Roster!A11</f>
        <v xml:space="preserve"> </v>
      </c>
      <c r="B12" s="1" t="s">
        <v>29</v>
      </c>
      <c r="C12" s="2" t="s">
        <v>28</v>
      </c>
      <c r="D12" s="1" t="s">
        <v>29</v>
      </c>
      <c r="E12" s="2" t="s">
        <v>28</v>
      </c>
      <c r="F12" s="1" t="s">
        <v>29</v>
      </c>
      <c r="G12" s="2" t="s">
        <v>28</v>
      </c>
      <c r="H12" s="1" t="s">
        <v>29</v>
      </c>
      <c r="I12" s="2" t="s">
        <v>28</v>
      </c>
      <c r="J12" s="10" t="str">
        <f t="shared" si="0"/>
        <v>Unsatisfactory</v>
      </c>
      <c r="K12" s="10"/>
      <c r="L12" s="1"/>
      <c r="M12" s="23">
        <v>0</v>
      </c>
      <c r="N12" s="1"/>
      <c r="O12" s="23">
        <v>0</v>
      </c>
      <c r="P12" s="10"/>
    </row>
    <row r="13" spans="1:16" ht="25" customHeight="1" x14ac:dyDescent="0.2">
      <c r="A13" t="str">
        <f>Roster!A12</f>
        <v xml:space="preserve"> </v>
      </c>
      <c r="B13" s="1" t="s">
        <v>29</v>
      </c>
      <c r="C13" s="2" t="s">
        <v>28</v>
      </c>
      <c r="D13" s="1" t="s">
        <v>29</v>
      </c>
      <c r="E13" s="2" t="s">
        <v>28</v>
      </c>
      <c r="F13" s="1" t="s">
        <v>29</v>
      </c>
      <c r="G13" s="2" t="s">
        <v>28</v>
      </c>
      <c r="H13" s="1" t="s">
        <v>29</v>
      </c>
      <c r="I13" s="2" t="s">
        <v>28</v>
      </c>
      <c r="J13" s="10" t="str">
        <f t="shared" si="0"/>
        <v>Unsatisfactory</v>
      </c>
      <c r="K13" s="10"/>
      <c r="L13" s="1"/>
      <c r="M13" s="23">
        <v>0</v>
      </c>
      <c r="N13" s="1"/>
      <c r="O13" s="23">
        <v>0</v>
      </c>
      <c r="P13" s="10"/>
    </row>
    <row r="14" spans="1:16" ht="25" customHeight="1" x14ac:dyDescent="0.2">
      <c r="A14" t="str">
        <f>Roster!A13</f>
        <v xml:space="preserve"> </v>
      </c>
      <c r="B14" s="1" t="s">
        <v>29</v>
      </c>
      <c r="C14" s="2" t="s">
        <v>28</v>
      </c>
      <c r="D14" s="1" t="s">
        <v>29</v>
      </c>
      <c r="E14" s="2" t="s">
        <v>28</v>
      </c>
      <c r="F14" s="1" t="s">
        <v>29</v>
      </c>
      <c r="G14" s="2" t="s">
        <v>28</v>
      </c>
      <c r="H14" s="1" t="s">
        <v>29</v>
      </c>
      <c r="I14" s="2" t="s">
        <v>28</v>
      </c>
      <c r="J14" s="10" t="str">
        <f t="shared" si="0"/>
        <v>Unsatisfactory</v>
      </c>
      <c r="K14" s="10"/>
      <c r="L14" s="1"/>
      <c r="M14" s="23">
        <v>0</v>
      </c>
      <c r="N14" s="1"/>
      <c r="O14" s="23">
        <v>0</v>
      </c>
      <c r="P14" s="10"/>
    </row>
    <row r="15" spans="1:16" ht="25" customHeight="1" x14ac:dyDescent="0.2">
      <c r="A15" t="str">
        <f>Roster!A14</f>
        <v xml:space="preserve"> </v>
      </c>
      <c r="B15" s="1" t="s">
        <v>29</v>
      </c>
      <c r="C15" s="2" t="s">
        <v>28</v>
      </c>
      <c r="D15" s="1" t="s">
        <v>29</v>
      </c>
      <c r="E15" s="2" t="s">
        <v>28</v>
      </c>
      <c r="F15" s="1" t="s">
        <v>29</v>
      </c>
      <c r="G15" s="2" t="s">
        <v>28</v>
      </c>
      <c r="H15" s="1" t="s">
        <v>29</v>
      </c>
      <c r="I15" s="2" t="s">
        <v>28</v>
      </c>
      <c r="J15" s="10" t="str">
        <f t="shared" si="0"/>
        <v>Unsatisfactory</v>
      </c>
      <c r="K15" s="10"/>
      <c r="L15" s="1"/>
      <c r="M15" s="23">
        <v>0</v>
      </c>
      <c r="N15" s="1"/>
      <c r="O15" s="23">
        <v>0</v>
      </c>
      <c r="P15" s="10"/>
    </row>
    <row r="16" spans="1:16" ht="25" customHeight="1" x14ac:dyDescent="0.2">
      <c r="A16" t="str">
        <f>Roster!A15</f>
        <v xml:space="preserve"> </v>
      </c>
      <c r="B16" s="1" t="s">
        <v>29</v>
      </c>
      <c r="C16" s="2" t="s">
        <v>28</v>
      </c>
      <c r="D16" s="1" t="s">
        <v>29</v>
      </c>
      <c r="E16" s="2" t="s">
        <v>28</v>
      </c>
      <c r="F16" s="1" t="s">
        <v>29</v>
      </c>
      <c r="G16" s="2" t="s">
        <v>28</v>
      </c>
      <c r="H16" s="1" t="s">
        <v>29</v>
      </c>
      <c r="I16" s="2" t="s">
        <v>28</v>
      </c>
      <c r="J16" s="10" t="str">
        <f t="shared" si="0"/>
        <v>Unsatisfactory</v>
      </c>
      <c r="K16" s="10"/>
      <c r="L16" s="1"/>
      <c r="M16" s="23">
        <v>0</v>
      </c>
      <c r="N16" s="1"/>
      <c r="O16" s="23">
        <v>0</v>
      </c>
      <c r="P16" s="10"/>
    </row>
    <row r="17" spans="1:16" ht="25" customHeight="1" thickBot="1" x14ac:dyDescent="0.25">
      <c r="A17" t="str">
        <f>Roster!A16</f>
        <v xml:space="preserve"> </v>
      </c>
      <c r="B17" s="3" t="s">
        <v>29</v>
      </c>
      <c r="C17" s="4" t="s">
        <v>28</v>
      </c>
      <c r="D17" s="3" t="s">
        <v>29</v>
      </c>
      <c r="E17" s="4" t="s">
        <v>28</v>
      </c>
      <c r="F17" s="3" t="s">
        <v>29</v>
      </c>
      <c r="G17" s="4" t="s">
        <v>28</v>
      </c>
      <c r="H17" s="3" t="s">
        <v>29</v>
      </c>
      <c r="I17" s="4" t="s">
        <v>28</v>
      </c>
      <c r="J17" s="11" t="str">
        <f t="shared" si="0"/>
        <v>Unsatisfactory</v>
      </c>
      <c r="K17" s="11"/>
      <c r="L17" s="3"/>
      <c r="M17" s="24">
        <v>0</v>
      </c>
      <c r="N17" s="3"/>
      <c r="O17" s="24">
        <v>0</v>
      </c>
      <c r="P17" s="11"/>
    </row>
  </sheetData>
  <mergeCells count="6">
    <mergeCell ref="K1:P1"/>
    <mergeCell ref="B1:C1"/>
    <mergeCell ref="D1:E1"/>
    <mergeCell ref="F1:G1"/>
    <mergeCell ref="H1:I1"/>
    <mergeCell ref="J1:J2"/>
  </mergeCells>
  <conditionalFormatting sqref="J3:J17">
    <cfRule type="cellIs" dxfId="265" priority="37" operator="equal">
      <formula>"Exceeds Expectations"</formula>
    </cfRule>
    <cfRule type="cellIs" dxfId="264" priority="38" operator="equal">
      <formula>"Meets Expectations"</formula>
    </cfRule>
    <cfRule type="cellIs" dxfId="263" priority="39" operator="equal">
      <formula>"Needs Improvement"</formula>
    </cfRule>
    <cfRule type="cellIs" dxfId="262" priority="40" operator="equal">
      <formula>"Below Expectations"</formula>
    </cfRule>
    <cfRule type="cellIs" dxfId="261" priority="41" operator="equal">
      <formula>"Unsatisfactory"</formula>
    </cfRule>
  </conditionalFormatting>
  <conditionalFormatting sqref="B3:B17">
    <cfRule type="cellIs" dxfId="47" priority="33" operator="equal">
      <formula>"Present"</formula>
    </cfRule>
    <cfRule type="cellIs" dxfId="46" priority="34" operator="equal">
      <formula>"Camera Off"</formula>
    </cfRule>
    <cfRule type="cellIs" dxfId="45" priority="35" operator="equal">
      <formula>"Late"</formula>
    </cfRule>
    <cfRule type="cellIs" dxfId="44" priority="36" operator="equal">
      <formula>"Absent"</formula>
    </cfRule>
  </conditionalFormatting>
  <conditionalFormatting sqref="D3:D17">
    <cfRule type="cellIs" dxfId="43" priority="29" operator="equal">
      <formula>"Present"</formula>
    </cfRule>
    <cfRule type="cellIs" dxfId="42" priority="30" operator="equal">
      <formula>"Camera Off"</formula>
    </cfRule>
    <cfRule type="cellIs" dxfId="41" priority="31" operator="equal">
      <formula>"Late"</formula>
    </cfRule>
    <cfRule type="cellIs" dxfId="40" priority="32" operator="equal">
      <formula>"Absent"</formula>
    </cfRule>
  </conditionalFormatting>
  <conditionalFormatting sqref="E3:E17">
    <cfRule type="cellIs" dxfId="39" priority="24" operator="equal">
      <formula>"N/A"</formula>
    </cfRule>
    <cfRule type="cellIs" dxfId="38" priority="25" operator="equal">
      <formula>"Exceptional"</formula>
    </cfRule>
    <cfRule type="cellIs" dxfId="37" priority="26" operator="equal">
      <formula>"Good"</formula>
    </cfRule>
    <cfRule type="cellIs" dxfId="36" priority="27" operator="equal">
      <formula>"Average"</formula>
    </cfRule>
    <cfRule type="cellIs" dxfId="35" priority="28" operator="equal">
      <formula>"Poor"</formula>
    </cfRule>
  </conditionalFormatting>
  <conditionalFormatting sqref="C3:C17">
    <cfRule type="cellIs" dxfId="34" priority="19" operator="equal">
      <formula>"N/A"</formula>
    </cfRule>
    <cfRule type="cellIs" dxfId="33" priority="20" operator="equal">
      <formula>"Exceptional"</formula>
    </cfRule>
    <cfRule type="cellIs" dxfId="32" priority="21" operator="equal">
      <formula>"Good"</formula>
    </cfRule>
    <cfRule type="cellIs" dxfId="31" priority="22" operator="equal">
      <formula>"Average"</formula>
    </cfRule>
    <cfRule type="cellIs" dxfId="30" priority="23" operator="equal">
      <formula>"Poor"</formula>
    </cfRule>
  </conditionalFormatting>
  <conditionalFormatting sqref="F3:F17">
    <cfRule type="cellIs" dxfId="29" priority="15" operator="equal">
      <formula>"Present"</formula>
    </cfRule>
    <cfRule type="cellIs" dxfId="28" priority="16" operator="equal">
      <formula>"Camera Off"</formula>
    </cfRule>
    <cfRule type="cellIs" dxfId="27" priority="17" operator="equal">
      <formula>"Late"</formula>
    </cfRule>
    <cfRule type="cellIs" dxfId="26" priority="18" operator="equal">
      <formula>"Absent"</formula>
    </cfRule>
  </conditionalFormatting>
  <conditionalFormatting sqref="H3:H17">
    <cfRule type="cellIs" dxfId="25" priority="11" operator="equal">
      <formula>"Present"</formula>
    </cfRule>
    <cfRule type="cellIs" dxfId="24" priority="12" operator="equal">
      <formula>"Camera Off"</formula>
    </cfRule>
    <cfRule type="cellIs" dxfId="23" priority="13" operator="equal">
      <formula>"Late"</formula>
    </cfRule>
    <cfRule type="cellIs" dxfId="22" priority="14" operator="equal">
      <formula>"Absent"</formula>
    </cfRule>
  </conditionalFormatting>
  <conditionalFormatting sqref="I3:I17">
    <cfRule type="cellIs" dxfId="21" priority="6" operator="equal">
      <formula>"N/A"</formula>
    </cfRule>
    <cfRule type="cellIs" dxfId="20" priority="7" operator="equal">
      <formula>"Exceptional"</formula>
    </cfRule>
    <cfRule type="cellIs" dxfId="19" priority="8" operator="equal">
      <formula>"Good"</formula>
    </cfRule>
    <cfRule type="cellIs" dxfId="18" priority="9" operator="equal">
      <formula>"Average"</formula>
    </cfRule>
    <cfRule type="cellIs" dxfId="17" priority="10" operator="equal">
      <formula>"Poor"</formula>
    </cfRule>
  </conditionalFormatting>
  <conditionalFormatting sqref="G3:G17">
    <cfRule type="cellIs" dxfId="16" priority="1" operator="equal">
      <formula>"N/A"</formula>
    </cfRule>
    <cfRule type="cellIs" dxfId="15" priority="2" operator="equal">
      <formula>"Exceptional"</formula>
    </cfRule>
    <cfRule type="cellIs" dxfId="14" priority="3" operator="equal">
      <formula>"Good"</formula>
    </cfRule>
    <cfRule type="cellIs" dxfId="13" priority="4" operator="equal">
      <formula>"Average"</formula>
    </cfRule>
    <cfRule type="cellIs" dxfId="12" priority="5" operator="equal">
      <formula>"Poor"</formula>
    </cfRule>
  </conditionalFormatting>
  <dataValidations count="3">
    <dataValidation type="list" allowBlank="1" showInputMessage="1" showErrorMessage="1" sqref="D3:D17 H3:H17" xr:uid="{7C59FAC1-3D46-184E-80CF-CCB45F45062A}">
      <formula1>"Present,Absent,Late"</formula1>
    </dataValidation>
    <dataValidation type="list" allowBlank="1" showInputMessage="1" showErrorMessage="1" sqref="B3:B17 F3:F17" xr:uid="{4D51549F-4D34-4044-B948-609C98F43EA7}">
      <formula1>"Present,Absent,Late,Camera Off"</formula1>
    </dataValidation>
    <dataValidation type="list" allowBlank="1" showInputMessage="1" showErrorMessage="1" sqref="E3:E17 C3:C17 I3:I17 G3:G17" xr:uid="{1D5B7E28-7A4C-7D4F-B413-B724146F0DE3}">
      <formula1>"N/A,Poor,Average,Good,Exceptional"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3DE1F-EBE1-2A4F-860D-765B8B81D876}">
  <dimension ref="A1:L16"/>
  <sheetViews>
    <sheetView zoomScale="150" workbookViewId="0">
      <selection activeCell="H12" sqref="H12"/>
    </sheetView>
  </sheetViews>
  <sheetFormatPr baseColWidth="10" defaultRowHeight="16" x14ac:dyDescent="0.2"/>
  <cols>
    <col min="1" max="1" width="14.33203125" customWidth="1"/>
    <col min="4" max="4" width="14.1640625" customWidth="1"/>
    <col min="5" max="5" width="17.33203125" customWidth="1"/>
    <col min="6" max="6" width="23.33203125" customWidth="1"/>
  </cols>
  <sheetData>
    <row r="1" spans="1:12" x14ac:dyDescent="0.2">
      <c r="A1" s="13" t="s">
        <v>14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K1" s="28" t="s">
        <v>30</v>
      </c>
      <c r="L1" s="16" t="s">
        <v>15</v>
      </c>
    </row>
    <row r="2" spans="1:12" x14ac:dyDescent="0.2">
      <c r="A2" t="str">
        <f>Roster!A2</f>
        <v xml:space="preserve"> </v>
      </c>
      <c r="B2" cm="1">
        <f t="array" aca="1" ref="B2" ca="1">SUMPRODUCT(
   COUNTIF(
     INDIRECT( "'" &amp; fullsheetlist &amp; "'!B" &amp; ROW() + 1&amp; ":I" &amp; ROW() + 1 ),
     "Absent"
   )
)</f>
        <v>28</v>
      </c>
      <c r="C2" cm="1">
        <f t="array" aca="1" ref="C2" ca="1">SUMPRODUCT(
   COUNTIF(
     INDIRECT( "'" &amp; fullsheetlist &amp; "'!B" &amp; ROW() + 1&amp; ":I" &amp; ROW() + 1 ),
     "Late"
   )
)</f>
        <v>0</v>
      </c>
      <c r="D2" cm="1">
        <f t="array" aca="1" ref="D2" ca="1">SUMPRODUCT(
   COUNTIF(
     INDIRECT( "'" &amp; fullsheetlist &amp; "'!B" &amp; ROW() + 1&amp; ":I" &amp; ROW() + 1 ),
     "Camera Off"
   )
)</f>
        <v>0</v>
      </c>
      <c r="E2" cm="1">
        <f t="array" aca="1" ref="E2" ca="1">SUMPRODUCT(
   COUNTIF(
     INDIRECT( "'" &amp; fullsheetlist &amp; "'!B" &amp; ROW() + 1&amp; ":I" &amp; ROW() + 1 ),
     "Poor"
   )
)</f>
        <v>0</v>
      </c>
      <c r="F2" cm="1">
        <f t="array" aca="1" ref="F2" ca="1">SUMPRODUCT(
   COUNTIF(
     INDIRECT( "'" &amp; fullsheetlist &amp; "'!B" &amp; ROW() + 1&amp; ":I" &amp; ROW() + 1 ),
     "Exceptional"
   )
)</f>
        <v>0</v>
      </c>
      <c r="K2" s="29"/>
      <c r="L2" s="10" t="s">
        <v>16</v>
      </c>
    </row>
    <row r="3" spans="1:12" x14ac:dyDescent="0.2">
      <c r="A3" t="str">
        <f>Roster!A3</f>
        <v xml:space="preserve"> </v>
      </c>
      <c r="B3" cm="1">
        <f t="array" aca="1" ref="B3" ca="1">SUMPRODUCT(
   COUNTIF(
     INDIRECT( "'" &amp; fullsheetlist &amp; "'!B" &amp; ROW() + 1&amp; ":I" &amp; ROW() + 1 ),
     "Absent"
   )
)</f>
        <v>28</v>
      </c>
      <c r="C3" cm="1">
        <f t="array" aca="1" ref="C3" ca="1">SUMPRODUCT(
   COUNTIF(
     INDIRECT( "'" &amp; fullsheetlist &amp; "'!B" &amp; ROW() + 1&amp; ":I" &amp; ROW() + 1 ),
     "Late"
   )
)</f>
        <v>0</v>
      </c>
      <c r="D3" cm="1">
        <f t="array" aca="1" ref="D3" ca="1">SUMPRODUCT(
   COUNTIF(
     INDIRECT( "'" &amp; fullsheetlist &amp; "'!B" &amp; ROW() + 1&amp; ":I" &amp; ROW() + 1 ),
     "Camera Off"
   )
)</f>
        <v>0</v>
      </c>
      <c r="E3" cm="1">
        <f t="array" aca="1" ref="E3" ca="1">SUMPRODUCT(
   COUNTIF(
     INDIRECT( "'" &amp; fullsheetlist &amp; "'!B" &amp; ROW() + 1&amp; ":I" &amp; ROW() + 1 ),
     "Poor"
   )
)</f>
        <v>0</v>
      </c>
      <c r="F3" cm="1">
        <f t="array" aca="1" ref="F3" ca="1">SUMPRODUCT(
   COUNTIF(
     INDIRECT( "'" &amp; fullsheetlist &amp; "'!B" &amp; ROW() + 1&amp; ":I" &amp; ROW() + 1 ),
     "Exceptional"
   )
)</f>
        <v>0</v>
      </c>
      <c r="K3" s="29"/>
      <c r="L3" s="10" t="s">
        <v>17</v>
      </c>
    </row>
    <row r="4" spans="1:12" x14ac:dyDescent="0.2">
      <c r="A4" t="str">
        <f>Roster!A4</f>
        <v xml:space="preserve"> </v>
      </c>
      <c r="B4" cm="1">
        <f t="array" aca="1" ref="B4" ca="1">SUMPRODUCT(
   COUNTIF(
     INDIRECT( "'" &amp; fullsheetlist &amp; "'!B" &amp; ROW() + 1&amp; ":I" &amp; ROW() + 1 ),
     "Absent"
   )
)</f>
        <v>28</v>
      </c>
      <c r="C4" cm="1">
        <f t="array" aca="1" ref="C4" ca="1">SUMPRODUCT(
   COUNTIF(
     INDIRECT( "'" &amp; fullsheetlist &amp; "'!B" &amp; ROW() + 1&amp; ":I" &amp; ROW() + 1 ),
     "Late"
   )
)</f>
        <v>0</v>
      </c>
      <c r="D4" cm="1">
        <f t="array" aca="1" ref="D4" ca="1">SUMPRODUCT(
   COUNTIF(
     INDIRECT( "'" &amp; fullsheetlist &amp; "'!B" &amp; ROW() + 1&amp; ":I" &amp; ROW() + 1 ),
     "Camera Off"
   )
)</f>
        <v>0</v>
      </c>
      <c r="E4" cm="1">
        <f t="array" aca="1" ref="E4" ca="1">SUMPRODUCT(
   COUNTIF(
     INDIRECT( "'" &amp; fullsheetlist &amp; "'!B" &amp; ROW() + 1&amp; ":I" &amp; ROW() + 1 ),
     "Poor"
   )
)</f>
        <v>0</v>
      </c>
      <c r="F4" cm="1">
        <f t="array" aca="1" ref="F4" ca="1">SUMPRODUCT(
   COUNTIF(
     INDIRECT( "'" &amp; fullsheetlist &amp; "'!B" &amp; ROW() + 1&amp; ":I" &amp; ROW() + 1 ),
     "Exceptional"
   )
)</f>
        <v>0</v>
      </c>
      <c r="K4" s="29"/>
      <c r="L4" s="10" t="s">
        <v>18</v>
      </c>
    </row>
    <row r="5" spans="1:12" x14ac:dyDescent="0.2">
      <c r="A5" t="str">
        <f>Roster!A5</f>
        <v xml:space="preserve"> </v>
      </c>
      <c r="B5" cm="1">
        <f t="array" aca="1" ref="B5" ca="1">SUMPRODUCT(
   COUNTIF(
     INDIRECT( "'" &amp; fullsheetlist &amp; "'!B" &amp; ROW() + 1&amp; ":I" &amp; ROW() + 1 ),
     "Absent"
   )
)</f>
        <v>28</v>
      </c>
      <c r="C5" cm="1">
        <f t="array" aca="1" ref="C5" ca="1">SUMPRODUCT(
   COUNTIF(
     INDIRECT( "'" &amp; fullsheetlist &amp; "'!B" &amp; ROW() + 1&amp; ":I" &amp; ROW() + 1 ),
     "Late"
   )
)</f>
        <v>0</v>
      </c>
      <c r="D5" cm="1">
        <f t="array" aca="1" ref="D5" ca="1">SUMPRODUCT(
   COUNTIF(
     INDIRECT( "'" &amp; fullsheetlist &amp; "'!B" &amp; ROW() + 1&amp; ":I" &amp; ROW() + 1 ),
     "Camera Off"
   )
)</f>
        <v>0</v>
      </c>
      <c r="E5" cm="1">
        <f t="array" aca="1" ref="E5" ca="1">SUMPRODUCT(
   COUNTIF(
     INDIRECT( "'" &amp; fullsheetlist &amp; "'!B" &amp; ROW() + 1&amp; ":I" &amp; ROW() + 1 ),
     "Poor"
   )
)</f>
        <v>0</v>
      </c>
      <c r="F5" cm="1">
        <f t="array" aca="1" ref="F5" ca="1">SUMPRODUCT(
   COUNTIF(
     INDIRECT( "'" &amp; fullsheetlist &amp; "'!B" &amp; ROW() + 1&amp; ":I" &amp; ROW() + 1 ),
     "Exceptional"
   )
)</f>
        <v>0</v>
      </c>
      <c r="K5" s="29"/>
      <c r="L5" s="10" t="s">
        <v>20</v>
      </c>
    </row>
    <row r="6" spans="1:12" x14ac:dyDescent="0.2">
      <c r="A6" t="str">
        <f>Roster!A6</f>
        <v xml:space="preserve"> </v>
      </c>
      <c r="B6" cm="1">
        <f t="array" aca="1" ref="B6" ca="1">SUMPRODUCT(
   COUNTIF(
     INDIRECT( "'" &amp; fullsheetlist &amp; "'!B" &amp; ROW() + 1&amp; ":I" &amp; ROW() + 1 ),
     "Absent"
   )
)</f>
        <v>28</v>
      </c>
      <c r="C6" cm="1">
        <f t="array" aca="1" ref="C6" ca="1">SUMPRODUCT(
   COUNTIF(
     INDIRECT( "'" &amp; fullsheetlist &amp; "'!B" &amp; ROW() + 1&amp; ":I" &amp; ROW() + 1 ),
     "Late"
   )
)</f>
        <v>0</v>
      </c>
      <c r="D6" cm="1">
        <f t="array" aca="1" ref="D6" ca="1">SUMPRODUCT(
   COUNTIF(
     INDIRECT( "'" &amp; fullsheetlist &amp; "'!B" &amp; ROW() + 1&amp; ":I" &amp; ROW() + 1 ),
     "Camera Off"
   )
)</f>
        <v>0</v>
      </c>
      <c r="E6" cm="1">
        <f t="array" aca="1" ref="E6" ca="1">SUMPRODUCT(
   COUNTIF(
     INDIRECT( "'" &amp; fullsheetlist &amp; "'!B" &amp; ROW() + 1&amp; ":I" &amp; ROW() + 1 ),
     "Poor"
   )
)</f>
        <v>0</v>
      </c>
      <c r="F6" cm="1">
        <f t="array" aca="1" ref="F6" ca="1">SUMPRODUCT(
   COUNTIF(
     INDIRECT( "'" &amp; fullsheetlist &amp; "'!B" &amp; ROW() + 1&amp; ":I" &amp; ROW() + 1 ),
     "Exceptional"
   )
)</f>
        <v>0</v>
      </c>
      <c r="K6" s="29"/>
      <c r="L6" s="10" t="s">
        <v>21</v>
      </c>
    </row>
    <row r="7" spans="1:12" ht="17" thickBot="1" x14ac:dyDescent="0.25">
      <c r="A7" t="str">
        <f>Roster!A7</f>
        <v xml:space="preserve"> </v>
      </c>
      <c r="B7" cm="1">
        <f t="array" aca="1" ref="B7" ca="1">SUMPRODUCT(
   COUNTIF(
     INDIRECT( "'" &amp; fullsheetlist &amp; "'!B" &amp; ROW() + 1&amp; ":I" &amp; ROW() + 1 ),
     "Absent"
   )
)</f>
        <v>28</v>
      </c>
      <c r="C7" cm="1">
        <f t="array" aca="1" ref="C7" ca="1">SUMPRODUCT(
   COUNTIF(
     INDIRECT( "'" &amp; fullsheetlist &amp; "'!B" &amp; ROW() + 1&amp; ":I" &amp; ROW() + 1 ),
     "Late"
   )
)</f>
        <v>0</v>
      </c>
      <c r="D7" cm="1">
        <f t="array" aca="1" ref="D7" ca="1">SUMPRODUCT(
   COUNTIF(
     INDIRECT( "'" &amp; fullsheetlist &amp; "'!B" &amp; ROW() + 1&amp; ":I" &amp; ROW() + 1 ),
     "Camera Off"
   )
)</f>
        <v>0</v>
      </c>
      <c r="E7" cm="1">
        <f t="array" aca="1" ref="E7" ca="1">SUMPRODUCT(
   COUNTIF(
     INDIRECT( "'" &amp; fullsheetlist &amp; "'!B" &amp; ROW() + 1&amp; ":I" &amp; ROW() + 1 ),
     "Poor"
   )
)</f>
        <v>0</v>
      </c>
      <c r="F7" cm="1">
        <f t="array" aca="1" ref="F7" ca="1">SUMPRODUCT(
   COUNTIF(
     INDIRECT( "'" &amp; fullsheetlist &amp; "'!B" &amp; ROW() + 1&amp; ":I" &amp; ROW() + 1 ),
     "Exceptional"
   )
)</f>
        <v>0</v>
      </c>
      <c r="K7" s="30"/>
      <c r="L7" s="11" t="s">
        <v>22</v>
      </c>
    </row>
    <row r="8" spans="1:12" x14ac:dyDescent="0.2">
      <c r="A8" t="str">
        <f>Roster!A8</f>
        <v xml:space="preserve"> </v>
      </c>
      <c r="B8" cm="1">
        <f t="array" aca="1" ref="B8" ca="1">SUMPRODUCT(
   COUNTIF(
     INDIRECT( "'" &amp; fullsheetlist &amp; "'!B" &amp; ROW() + 1&amp; ":I" &amp; ROW() + 1 ),
     "Absent"
   )
)</f>
        <v>28</v>
      </c>
      <c r="C8" cm="1">
        <f t="array" aca="1" ref="C8" ca="1">SUMPRODUCT(
   COUNTIF(
     INDIRECT( "'" &amp; fullsheetlist &amp; "'!B" &amp; ROW() + 1&amp; ":I" &amp; ROW() + 1 ),
     "Late"
   )
)</f>
        <v>0</v>
      </c>
      <c r="D8" cm="1">
        <f t="array" aca="1" ref="D8" ca="1">SUMPRODUCT(
   COUNTIF(
     INDIRECT( "'" &amp; fullsheetlist &amp; "'!B" &amp; ROW() + 1&amp; ":I" &amp; ROW() + 1 ),
     "Camera Off"
   )
)</f>
        <v>0</v>
      </c>
      <c r="E8" cm="1">
        <f t="array" aca="1" ref="E8" ca="1">SUMPRODUCT(
   COUNTIF(
     INDIRECT( "'" &amp; fullsheetlist &amp; "'!B" &amp; ROW() + 1&amp; ":I" &amp; ROW() + 1 ),
     "Poor"
   )
)</f>
        <v>0</v>
      </c>
      <c r="F8" cm="1">
        <f t="array" aca="1" ref="F8" ca="1">SUMPRODUCT(
   COUNTIF(
     INDIRECT( "'" &amp; fullsheetlist &amp; "'!B" &amp; ROW() + 1&amp; ":I" &amp; ROW() + 1 ),
     "Exceptional"
   )
)</f>
        <v>0</v>
      </c>
    </row>
    <row r="9" spans="1:12" x14ac:dyDescent="0.2">
      <c r="A9" t="str">
        <f>Roster!A9</f>
        <v xml:space="preserve"> </v>
      </c>
      <c r="B9" cm="1">
        <f t="array" aca="1" ref="B9" ca="1">SUMPRODUCT(
   COUNTIF(
     INDIRECT( "'" &amp; fullsheetlist &amp; "'!B" &amp; ROW() + 1&amp; ":I" &amp; ROW() + 1 ),
     "Absent"
   )
)</f>
        <v>28</v>
      </c>
      <c r="C9" cm="1">
        <f t="array" aca="1" ref="C9" ca="1">SUMPRODUCT(
   COUNTIF(
     INDIRECT( "'" &amp; fullsheetlist &amp; "'!B" &amp; ROW() + 1&amp; ":I" &amp; ROW() + 1 ),
     "Late"
   )
)</f>
        <v>0</v>
      </c>
      <c r="D9" cm="1">
        <f t="array" aca="1" ref="D9" ca="1">SUMPRODUCT(
   COUNTIF(
     INDIRECT( "'" &amp; fullsheetlist &amp; "'!B" &amp; ROW() + 1&amp; ":I" &amp; ROW() + 1 ),
     "Camera Off"
   )
)</f>
        <v>0</v>
      </c>
      <c r="E9" cm="1">
        <f t="array" aca="1" ref="E9" ca="1">SUMPRODUCT(
   COUNTIF(
     INDIRECT( "'" &amp; fullsheetlist &amp; "'!B" &amp; ROW() + 1&amp; ":I" &amp; ROW() + 1 ),
     "Poor"
   )
)</f>
        <v>0</v>
      </c>
      <c r="F9" cm="1">
        <f t="array" aca="1" ref="F9" ca="1">SUMPRODUCT(
   COUNTIF(
     INDIRECT( "'" &amp; fullsheetlist &amp; "'!B" &amp; ROW() + 1&amp; ":I" &amp; ROW() + 1 ),
     "Exceptional"
   )
)</f>
        <v>0</v>
      </c>
    </row>
    <row r="10" spans="1:12" x14ac:dyDescent="0.2">
      <c r="A10" t="str">
        <f>Roster!A10</f>
        <v xml:space="preserve"> </v>
      </c>
      <c r="B10" cm="1">
        <f t="array" aca="1" ref="B10" ca="1">SUMPRODUCT(
   COUNTIF(
     INDIRECT( "'" &amp; fullsheetlist &amp; "'!B" &amp; ROW() + 1&amp; ":I" &amp; ROW() + 1 ),
     "Absent"
   )
)</f>
        <v>28</v>
      </c>
      <c r="C10" cm="1">
        <f t="array" aca="1" ref="C10" ca="1">SUMPRODUCT(
   COUNTIF(
     INDIRECT( "'" &amp; fullsheetlist &amp; "'!B" &amp; ROW() + 1&amp; ":I" &amp; ROW() + 1 ),
     "Late"
   )
)</f>
        <v>0</v>
      </c>
      <c r="D10" cm="1">
        <f t="array" aca="1" ref="D10" ca="1">SUMPRODUCT(
   COUNTIF(
     INDIRECT( "'" &amp; fullsheetlist &amp; "'!B" &amp; ROW() + 1&amp; ":I" &amp; ROW() + 1 ),
     "Camera Off"
   )
)</f>
        <v>0</v>
      </c>
      <c r="E10" cm="1">
        <f t="array" aca="1" ref="E10" ca="1">SUMPRODUCT(
   COUNTIF(
     INDIRECT( "'" &amp; fullsheetlist &amp; "'!B" &amp; ROW() + 1&amp; ":I" &amp; ROW() + 1 ),
     "Poor"
   )
)</f>
        <v>0</v>
      </c>
      <c r="F10" cm="1">
        <f t="array" aca="1" ref="F10" ca="1">SUMPRODUCT(
   COUNTIF(
     INDIRECT( "'" &amp; fullsheetlist &amp; "'!B" &amp; ROW() + 1&amp; ":I" &amp; ROW() + 1 ),
     "Exceptional"
   )
)</f>
        <v>0</v>
      </c>
    </row>
    <row r="11" spans="1:12" x14ac:dyDescent="0.2">
      <c r="A11" t="str">
        <f>Roster!A11</f>
        <v xml:space="preserve"> </v>
      </c>
      <c r="B11" cm="1">
        <f t="array" aca="1" ref="B11" ca="1">SUMPRODUCT(
   COUNTIF(
     INDIRECT( "'" &amp; fullsheetlist &amp; "'!B" &amp; ROW() + 1&amp; ":I" &amp; ROW() + 1 ),
     "Absent"
   )
)</f>
        <v>28</v>
      </c>
      <c r="C11" cm="1">
        <f t="array" aca="1" ref="C11" ca="1">SUMPRODUCT(
   COUNTIF(
     INDIRECT( "'" &amp; fullsheetlist &amp; "'!B" &amp; ROW() + 1&amp; ":I" &amp; ROW() + 1 ),
     "Late"
   )
)</f>
        <v>0</v>
      </c>
      <c r="D11" cm="1">
        <f t="array" aca="1" ref="D11" ca="1">SUMPRODUCT(
   COUNTIF(
     INDIRECT( "'" &amp; fullsheetlist &amp; "'!B" &amp; ROW() + 1&amp; ":I" &amp; ROW() + 1 ),
     "Camera Off"
   )
)</f>
        <v>0</v>
      </c>
      <c r="E11" cm="1">
        <f t="array" aca="1" ref="E11" ca="1">SUMPRODUCT(
   COUNTIF(
     INDIRECT( "'" &amp; fullsheetlist &amp; "'!B" &amp; ROW() + 1&amp; ":I" &amp; ROW() + 1 ),
     "Poor"
   )
)</f>
        <v>0</v>
      </c>
      <c r="F11" cm="1">
        <f t="array" aca="1" ref="F11" ca="1">SUMPRODUCT(
   COUNTIF(
     INDIRECT( "'" &amp; fullsheetlist &amp; "'!B" &amp; ROW() + 1&amp; ":I" &amp; ROW() + 1 ),
     "Exceptional"
   )
)</f>
        <v>0</v>
      </c>
    </row>
    <row r="12" spans="1:12" x14ac:dyDescent="0.2">
      <c r="A12" t="str">
        <f>Roster!A12</f>
        <v xml:space="preserve"> </v>
      </c>
      <c r="B12" cm="1">
        <f t="array" aca="1" ref="B12" ca="1">SUMPRODUCT(
   COUNTIF(
     INDIRECT( "'" &amp; fullsheetlist &amp; "'!B" &amp; ROW() + 1&amp; ":I" &amp; ROW() + 1 ),
     "Absent"
   )
)</f>
        <v>28</v>
      </c>
      <c r="C12" cm="1">
        <f t="array" aca="1" ref="C12" ca="1">SUMPRODUCT(
   COUNTIF(
     INDIRECT( "'" &amp; fullsheetlist &amp; "'!B" &amp; ROW() + 1&amp; ":I" &amp; ROW() + 1 ),
     "Late"
   )
)</f>
        <v>0</v>
      </c>
      <c r="D12" cm="1">
        <f t="array" aca="1" ref="D12" ca="1">SUMPRODUCT(
   COUNTIF(
     INDIRECT( "'" &amp; fullsheetlist &amp; "'!B" &amp; ROW() + 1&amp; ":I" &amp; ROW() + 1 ),
     "Camera Off"
   )
)</f>
        <v>0</v>
      </c>
      <c r="E12" cm="1">
        <f t="array" aca="1" ref="E12" ca="1">SUMPRODUCT(
   COUNTIF(
     INDIRECT( "'" &amp; fullsheetlist &amp; "'!B" &amp; ROW() + 1&amp; ":I" &amp; ROW() + 1 ),
     "Poor"
   )
)</f>
        <v>0</v>
      </c>
      <c r="F12" cm="1">
        <f t="array" aca="1" ref="F12" ca="1">SUMPRODUCT(
   COUNTIF(
     INDIRECT( "'" &amp; fullsheetlist &amp; "'!B" &amp; ROW() + 1&amp; ":I" &amp; ROW() + 1 ),
     "Exceptional"
   )
)</f>
        <v>0</v>
      </c>
    </row>
    <row r="13" spans="1:12" x14ac:dyDescent="0.2">
      <c r="A13" t="str">
        <f>Roster!A13</f>
        <v xml:space="preserve"> </v>
      </c>
      <c r="B13" cm="1">
        <f t="array" aca="1" ref="B13" ca="1">SUMPRODUCT(
   COUNTIF(
     INDIRECT( "'" &amp; fullsheetlist &amp; "'!B" &amp; ROW() + 1&amp; ":I" &amp; ROW() + 1 ),
     "Absent"
   )
)</f>
        <v>28</v>
      </c>
      <c r="C13" cm="1">
        <f t="array" aca="1" ref="C13" ca="1">SUMPRODUCT(
   COUNTIF(
     INDIRECT( "'" &amp; fullsheetlist &amp; "'!B" &amp; ROW() + 1&amp; ":I" &amp; ROW() + 1 ),
     "Late"
   )
)</f>
        <v>0</v>
      </c>
      <c r="D13" cm="1">
        <f t="array" aca="1" ref="D13" ca="1">SUMPRODUCT(
   COUNTIF(
     INDIRECT( "'" &amp; fullsheetlist &amp; "'!B" &amp; ROW() + 1&amp; ":I" &amp; ROW() + 1 ),
     "Camera Off"
   )
)</f>
        <v>0</v>
      </c>
      <c r="E13" cm="1">
        <f t="array" aca="1" ref="E13" ca="1">SUMPRODUCT(
   COUNTIF(
     INDIRECT( "'" &amp; fullsheetlist &amp; "'!B" &amp; ROW() + 1&amp; ":I" &amp; ROW() + 1 ),
     "Poor"
   )
)</f>
        <v>0</v>
      </c>
      <c r="F13" cm="1">
        <f t="array" aca="1" ref="F13" ca="1">SUMPRODUCT(
   COUNTIF(
     INDIRECT( "'" &amp; fullsheetlist &amp; "'!B" &amp; ROW() + 1&amp; ":I" &amp; ROW() + 1 ),
     "Exceptional"
   )
)</f>
        <v>0</v>
      </c>
    </row>
    <row r="14" spans="1:12" x14ac:dyDescent="0.2">
      <c r="A14" t="str">
        <f>Roster!A14</f>
        <v xml:space="preserve"> </v>
      </c>
      <c r="B14" cm="1">
        <f t="array" aca="1" ref="B14" ca="1">SUMPRODUCT(
   COUNTIF(
     INDIRECT( "'" &amp; fullsheetlist &amp; "'!B" &amp; ROW() + 1&amp; ":I" &amp; ROW() + 1 ),
     "Absent"
   )
)</f>
        <v>28</v>
      </c>
      <c r="C14" cm="1">
        <f t="array" aca="1" ref="C14" ca="1">SUMPRODUCT(
   COUNTIF(
     INDIRECT( "'" &amp; fullsheetlist &amp; "'!B" &amp; ROW() + 1&amp; ":I" &amp; ROW() + 1 ),
     "Late"
   )
)</f>
        <v>0</v>
      </c>
      <c r="D14" cm="1">
        <f t="array" aca="1" ref="D14" ca="1">SUMPRODUCT(
   COUNTIF(
     INDIRECT( "'" &amp; fullsheetlist &amp; "'!B" &amp; ROW() + 1&amp; ":I" &amp; ROW() + 1 ),
     "Camera Off"
   )
)</f>
        <v>0</v>
      </c>
      <c r="E14" cm="1">
        <f t="array" aca="1" ref="E14" ca="1">SUMPRODUCT(
   COUNTIF(
     INDIRECT( "'" &amp; fullsheetlist &amp; "'!B" &amp; ROW() + 1&amp; ":I" &amp; ROW() + 1 ),
     "Poor"
   )
)</f>
        <v>0</v>
      </c>
      <c r="F14" cm="1">
        <f t="array" aca="1" ref="F14" ca="1">SUMPRODUCT(
   COUNTIF(
     INDIRECT( "'" &amp; fullsheetlist &amp; "'!B" &amp; ROW() + 1&amp; ":I" &amp; ROW() + 1 ),
     "Exceptional"
   )
)</f>
        <v>0</v>
      </c>
    </row>
    <row r="15" spans="1:12" x14ac:dyDescent="0.2">
      <c r="A15" t="str">
        <f>Roster!A15</f>
        <v xml:space="preserve"> </v>
      </c>
      <c r="B15" cm="1">
        <f t="array" aca="1" ref="B15" ca="1">SUMPRODUCT(
   COUNTIF(
     INDIRECT( "'" &amp; fullsheetlist &amp; "'!B" &amp; ROW() + 1&amp; ":I" &amp; ROW() + 1 ),
     "Absent"
   )
)</f>
        <v>28</v>
      </c>
      <c r="C15" cm="1">
        <f t="array" aca="1" ref="C15" ca="1">SUMPRODUCT(
   COUNTIF(
     INDIRECT( "'" &amp; fullsheetlist &amp; "'!B" &amp; ROW() + 1&amp; ":I" &amp; ROW() + 1 ),
     "Late"
   )
)</f>
        <v>0</v>
      </c>
      <c r="D15" cm="1">
        <f t="array" aca="1" ref="D15" ca="1">SUMPRODUCT(
   COUNTIF(
     INDIRECT( "'" &amp; fullsheetlist &amp; "'!B" &amp; ROW() + 1&amp; ":I" &amp; ROW() + 1 ),
     "Camera Off"
   )
)</f>
        <v>0</v>
      </c>
      <c r="E15" cm="1">
        <f t="array" aca="1" ref="E15" ca="1">SUMPRODUCT(
   COUNTIF(
     INDIRECT( "'" &amp; fullsheetlist &amp; "'!B" &amp; ROW() + 1&amp; ":I" &amp; ROW() + 1 ),
     "Poor"
   )
)</f>
        <v>0</v>
      </c>
      <c r="F15" cm="1">
        <f t="array" aca="1" ref="F15" ca="1">SUMPRODUCT(
   COUNTIF(
     INDIRECT( "'" &amp; fullsheetlist &amp; "'!B" &amp; ROW() + 1&amp; ":I" &amp; ROW() + 1 ),
     "Exceptional"
   )
)</f>
        <v>0</v>
      </c>
    </row>
    <row r="16" spans="1:12" x14ac:dyDescent="0.2">
      <c r="A16" t="str">
        <f>Roster!A16</f>
        <v xml:space="preserve"> </v>
      </c>
      <c r="B16" cm="1">
        <f t="array" aca="1" ref="B16" ca="1">SUMPRODUCT(
   COUNTIF(
     INDIRECT( "'" &amp; fullsheetlist &amp; "'!B" &amp; ROW() + 1&amp; ":I" &amp; ROW() + 1 ),
     "Absent"
   )
)</f>
        <v>28</v>
      </c>
      <c r="C16" cm="1">
        <f t="array" aca="1" ref="C16" ca="1">SUMPRODUCT(
   COUNTIF(
     INDIRECT( "'" &amp; fullsheetlist &amp; "'!B" &amp; ROW() + 1&amp; ":I" &amp; ROW() + 1 ),
     "Late"
   )
)</f>
        <v>0</v>
      </c>
      <c r="D16" cm="1">
        <f t="array" aca="1" ref="D16" ca="1">SUMPRODUCT(
   COUNTIF(
     INDIRECT( "'" &amp; fullsheetlist &amp; "'!B" &amp; ROW() + 1&amp; ":I" &amp; ROW() + 1 ),
     "Camera Off"
   )
)</f>
        <v>0</v>
      </c>
      <c r="E16" cm="1">
        <f t="array" aca="1" ref="E16" ca="1">SUMPRODUCT(
   COUNTIF(
     INDIRECT( "'" &amp; fullsheetlist &amp; "'!B" &amp; ROW() + 1&amp; ":I" &amp; ROW() + 1 ),
     "Poor"
   )
)</f>
        <v>0</v>
      </c>
      <c r="F16" cm="1">
        <f t="array" aca="1" ref="F16" ca="1">SUMPRODUCT(
   COUNTIF(
     INDIRECT( "'" &amp; fullsheetlist &amp; "'!B" &amp; ROW() + 1&amp; ":I" &amp; ROW() + 1 ),
     "Exceptional"
   )
)</f>
        <v>0</v>
      </c>
    </row>
  </sheetData>
  <mergeCells count="1">
    <mergeCell ref="K1:K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Roster</vt:lpstr>
      <vt:lpstr>sprint1</vt:lpstr>
      <vt:lpstr>sprint2</vt:lpstr>
      <vt:lpstr>sprint3</vt:lpstr>
      <vt:lpstr>sprint4</vt:lpstr>
      <vt:lpstr>mid-semester-feedback</vt:lpstr>
      <vt:lpstr>sprint5</vt:lpstr>
      <vt:lpstr>sprint6</vt:lpstr>
      <vt:lpstr>sprint7</vt:lpstr>
      <vt:lpstr>final_feedback</vt:lpstr>
      <vt:lpstr>fullsheetlist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Patrick Wolf</dc:creator>
  <cp:lastModifiedBy>Michael Patrick Wolf</cp:lastModifiedBy>
  <dcterms:created xsi:type="dcterms:W3CDTF">2025-07-11T19:42:55Z</dcterms:created>
  <dcterms:modified xsi:type="dcterms:W3CDTF">2025-08-06T13:12:06Z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7606f69-b0ae-4874-be30-7d43a3c7be10_Enabled">
    <vt:lpwstr>true</vt:lpwstr>
  </property>
  <property fmtid="{D5CDD505-2E9C-101B-9397-08002B2CF9AE}" pid="3" name="MSIP_Label_f7606f69-b0ae-4874-be30-7d43a3c7be10_SetDate">
    <vt:lpwstr>2025-07-11T19:42:58Z</vt:lpwstr>
  </property>
  <property fmtid="{D5CDD505-2E9C-101B-9397-08002B2CF9AE}" pid="4" name="MSIP_Label_f7606f69-b0ae-4874-be30-7d43a3c7be10_Method">
    <vt:lpwstr>Standard</vt:lpwstr>
  </property>
  <property fmtid="{D5CDD505-2E9C-101B-9397-08002B2CF9AE}" pid="5" name="MSIP_Label_f7606f69-b0ae-4874-be30-7d43a3c7be10_Name">
    <vt:lpwstr>defa4170-0d19-0005-0001-bc88714345d2</vt:lpwstr>
  </property>
  <property fmtid="{D5CDD505-2E9C-101B-9397-08002B2CF9AE}" pid="6" name="MSIP_Label_f7606f69-b0ae-4874-be30-7d43a3c7be10_SiteId">
    <vt:lpwstr>4130bd39-7c53-419c-b1e5-8758d6d63f21</vt:lpwstr>
  </property>
  <property fmtid="{D5CDD505-2E9C-101B-9397-08002B2CF9AE}" pid="7" name="MSIP_Label_f7606f69-b0ae-4874-be30-7d43a3c7be10_ActionId">
    <vt:lpwstr>96cdc9f7-557a-4a05-9bd9-ccdc59d51d78</vt:lpwstr>
  </property>
  <property fmtid="{D5CDD505-2E9C-101B-9397-08002B2CF9AE}" pid="8" name="MSIP_Label_f7606f69-b0ae-4874-be30-7d43a3c7be10_ContentBits">
    <vt:lpwstr>0</vt:lpwstr>
  </property>
  <property fmtid="{D5CDD505-2E9C-101B-9397-08002B2CF9AE}" pid="9" name="MSIP_Label_f7606f69-b0ae-4874-be30-7d43a3c7be10_Tag">
    <vt:lpwstr>50, 3, 0, 1</vt:lpwstr>
  </property>
</Properties>
</file>